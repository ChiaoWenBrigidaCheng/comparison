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喬文作業區\115\115  校務研究\115 名稱及課程相似系所比較分析\比較分析網站\comparison\"/>
    </mc:Choice>
  </mc:AlternateContent>
  <xr:revisionPtr revIDLastSave="0" documentId="13_ncr:1_{F7F5A35B-FD7A-4E29-8C96-DB72BB7B11C9}" xr6:coauthVersionLast="36" xr6:coauthVersionMax="36" xr10:uidLastSave="{00000000-0000-0000-0000-000000000000}"/>
  <bookViews>
    <workbookView xWindow="0" yWindow="0" windowWidth="23040" windowHeight="8880" xr2:uid="{00000000-000D-0000-FFFF-FFFF00000000}"/>
  </bookViews>
  <sheets>
    <sheet name="Data" sheetId="1" r:id="rId1"/>
    <sheet name="Export Details" sheetId="2" r:id="rId2"/>
    <sheet name="Percentile Thresholds" sheetId="3" r:id="rId3"/>
  </sheets>
  <calcPr calcId="191029"/>
</workbook>
</file>

<file path=xl/calcChain.xml><?xml version="1.0" encoding="utf-8"?>
<calcChain xmlns="http://schemas.openxmlformats.org/spreadsheetml/2006/main">
  <c r="S8" i="1" l="1"/>
  <c r="R8" i="1"/>
  <c r="Q8" i="1"/>
  <c r="W8" i="1"/>
  <c r="V8" i="1"/>
  <c r="Q9" i="1"/>
  <c r="W3" i="1" l="1"/>
  <c r="W4" i="1"/>
  <c r="W5" i="1"/>
  <c r="W6" i="1"/>
  <c r="W7" i="1"/>
  <c r="W2" i="1"/>
  <c r="V3" i="1"/>
  <c r="V4" i="1"/>
  <c r="V5" i="1"/>
  <c r="V6" i="1"/>
  <c r="V7" i="1"/>
  <c r="V9" i="1"/>
  <c r="W9" i="1" s="1"/>
  <c r="V2" i="1"/>
  <c r="U3" i="1"/>
  <c r="U4" i="1"/>
  <c r="U5" i="1"/>
  <c r="U6" i="1"/>
  <c r="U7" i="1"/>
  <c r="U8" i="1"/>
  <c r="U9" i="1"/>
  <c r="U2" i="1"/>
  <c r="T3" i="1"/>
  <c r="T4" i="1"/>
  <c r="T5" i="1"/>
  <c r="T6" i="1"/>
  <c r="T7" i="1"/>
  <c r="T8" i="1"/>
  <c r="T9" i="1"/>
  <c r="T2" i="1"/>
  <c r="S3" i="1"/>
  <c r="S4" i="1"/>
  <c r="S5" i="1"/>
  <c r="S6" i="1"/>
  <c r="S7" i="1"/>
  <c r="S9" i="1"/>
  <c r="S2" i="1"/>
  <c r="R4" i="1"/>
  <c r="R5" i="1"/>
  <c r="R6" i="1"/>
  <c r="R7" i="1"/>
  <c r="R9" i="1"/>
  <c r="R3" i="1"/>
  <c r="R2" i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<sst xmlns="http://schemas.openxmlformats.org/spreadsheetml/2006/main" count="627" uniqueCount="58">
  <si>
    <t>﻿Entity</t>
  </si>
  <si>
    <t>Tags</t>
  </si>
  <si>
    <t>Metric Name</t>
  </si>
  <si>
    <t>Self-citations</t>
  </si>
  <si>
    <t>Types of publications included</t>
  </si>
  <si>
    <t>Other options</t>
  </si>
  <si>
    <t>Overall</t>
  </si>
  <si>
    <t/>
  </si>
  <si>
    <t>企業管理系</t>
  </si>
  <si>
    <t>NKUST</t>
  </si>
  <si>
    <t>Scholarly Output</t>
  </si>
  <si>
    <t>-</t>
  </si>
  <si>
    <t>All publication types</t>
  </si>
  <si>
    <t>國際企業系</t>
  </si>
  <si>
    <t>會計資訊系</t>
  </si>
  <si>
    <t>財務管理系</t>
  </si>
  <si>
    <t>財政稅務系</t>
  </si>
  <si>
    <t>金融系</t>
  </si>
  <si>
    <t>電子工程系[建工|燕巢校區]</t>
  </si>
  <si>
    <t>電子工程系[第一]</t>
  </si>
  <si>
    <t>International Collaboration (%)</t>
  </si>
  <si>
    <t>International Collaboration Impact</t>
  </si>
  <si>
    <t>Output in Top 10% Citation Percentiles (%)</t>
  </si>
  <si>
    <t>included</t>
  </si>
  <si>
    <t>in top 10% of the world</t>
  </si>
  <si>
    <t>Publications in Top 10% Journal Percentiles by CiteScore Percentile (%)</t>
  </si>
  <si>
    <t>in top 10% by CiteScore Percentile</t>
  </si>
  <si>
    <t>Academic-Corporate Collaboration (%)</t>
  </si>
  <si>
    <t>Academic-Corporate Collaboration Impact</t>
  </si>
  <si>
    <t>Number of Citing Countries</t>
  </si>
  <si>
    <t>Subject Area Main Category Count</t>
  </si>
  <si>
    <t>© 2026 Elsevier B.V. All rights reserved. SciVal, RELX Group and the RE symbol are trade marks of RELX Intellectual Properties SA, used under license.</t>
  </si>
  <si>
    <t>﻿Data set</t>
  </si>
  <si>
    <t>Multiple Metrics</t>
  </si>
  <si>
    <t>Entities</t>
  </si>
  <si>
    <t>企業管理系, 國際企業系, 會計資訊系, 財務管理系, 財政稅務系, 金融系, 電子工程系[建工|燕巢校區], 電子工程系[第一]</t>
  </si>
  <si>
    <t>Year range</t>
  </si>
  <si>
    <t>2018 to 2025</t>
  </si>
  <si>
    <t>Subject classification</t>
  </si>
  <si>
    <t>QS</t>
  </si>
  <si>
    <t>Filtered by</t>
  </si>
  <si>
    <t>All subject areas</t>
  </si>
  <si>
    <t>Data source</t>
  </si>
  <si>
    <t>Scopus</t>
  </si>
  <si>
    <t>Date last updated</t>
  </si>
  <si>
    <t>15 July 2026</t>
  </si>
  <si>
    <t>Date exported</t>
  </si>
  <si>
    <t>22 July 2026</t>
  </si>
  <si>
    <t>﻿</t>
  </si>
  <si>
    <t>Citation thresholds for Outputs in Top Citation Percentiles (all publication types)</t>
  </si>
  <si>
    <t>Top 1%</t>
  </si>
  <si>
    <t>Top 5%</t>
  </si>
  <si>
    <t>Top 10%</t>
  </si>
  <si>
    <t>Top 25%</t>
  </si>
  <si>
    <t>Field-Weighted Citation Impact</t>
  </si>
  <si>
    <t>Researchers</t>
  </si>
  <si>
    <t>平均總和</t>
  </si>
  <si>
    <t>每師平均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</si>
</sst>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indexed="8"/>
      <name val="Calibri"/>
      <family val="2"/>
      <scheme val="minor"/>
    </font>
    <font>
      <sz val="10"/>
      <color theme="1"/>
      <name val="Arial"/>
      <family val="2"/>
      <charset val="204"/>
    </font>
    <font>
      <b/>
      <sz val="11"/>
      <color indexed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4"/>
  <sheetViews>
    <sheetView tabSelected="1" workbookViewId="0">
      <selection activeCell="W2" sqref="W2"/>
    </sheetView>
  </sheetViews>
  <sheetFormatPr defaultRowHeight="14.4" x14ac:dyDescent="0.3"/>
  <cols>
    <col min="8" max="10" width="0" hidden="1" customWidth="1"/>
    <col min="16" max="16" width="8.88671875" style="1"/>
  </cols>
  <sheetData>
    <row r="1" spans="1:2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>
        <v>2018</v>
      </c>
      <c r="I1">
        <v>2019</v>
      </c>
      <c r="J1">
        <v>2020</v>
      </c>
      <c r="K1">
        <v>2021</v>
      </c>
      <c r="L1">
        <v>2022</v>
      </c>
      <c r="M1">
        <v>2023</v>
      </c>
      <c r="N1">
        <v>2024</v>
      </c>
      <c r="O1">
        <v>2025</v>
      </c>
      <c r="Q1" s="4">
        <v>2021</v>
      </c>
      <c r="R1" s="4">
        <v>2022</v>
      </c>
      <c r="S1" s="4">
        <v>2023</v>
      </c>
      <c r="T1" s="4">
        <v>2024</v>
      </c>
      <c r="U1" s="4">
        <v>2025</v>
      </c>
      <c r="V1" t="s">
        <v>56</v>
      </c>
      <c r="W1" s="5" t="s">
        <v>57</v>
      </c>
    </row>
    <row r="2" spans="1:23" x14ac:dyDescent="0.3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11</v>
      </c>
      <c r="G2">
        <v>52</v>
      </c>
      <c r="H2">
        <v>4</v>
      </c>
      <c r="I2">
        <v>9</v>
      </c>
      <c r="J2">
        <v>2</v>
      </c>
      <c r="K2">
        <v>6</v>
      </c>
      <c r="L2">
        <v>8</v>
      </c>
      <c r="M2">
        <v>7</v>
      </c>
      <c r="N2">
        <v>14</v>
      </c>
      <c r="O2">
        <v>2</v>
      </c>
      <c r="Q2">
        <f>K2/K12</f>
        <v>0.54545454545454541</v>
      </c>
      <c r="R2">
        <f>L2/L12</f>
        <v>0.61538461538461542</v>
      </c>
      <c r="S2">
        <f>M2/M12</f>
        <v>0.5</v>
      </c>
      <c r="T2">
        <f>N2/N12</f>
        <v>1.1666666666666667</v>
      </c>
      <c r="U2">
        <f>O2/O12</f>
        <v>0.15384615384615385</v>
      </c>
      <c r="V2">
        <f>SUM(Q2:U2)</f>
        <v>2.9813519813519815</v>
      </c>
      <c r="W2" s="5">
        <f>V2/5</f>
        <v>0.59627039627039635</v>
      </c>
    </row>
    <row r="3" spans="1:23" x14ac:dyDescent="0.3">
      <c r="A3" t="s">
        <v>13</v>
      </c>
      <c r="B3" t="s">
        <v>9</v>
      </c>
      <c r="C3" t="s">
        <v>10</v>
      </c>
      <c r="D3" t="s">
        <v>11</v>
      </c>
      <c r="E3" t="s">
        <v>12</v>
      </c>
      <c r="F3" t="s">
        <v>11</v>
      </c>
      <c r="G3">
        <v>89</v>
      </c>
      <c r="H3">
        <v>11</v>
      </c>
      <c r="I3">
        <v>10</v>
      </c>
      <c r="J3">
        <v>9</v>
      </c>
      <c r="K3">
        <v>15</v>
      </c>
      <c r="L3">
        <v>15</v>
      </c>
      <c r="M3">
        <v>11</v>
      </c>
      <c r="N3">
        <v>11</v>
      </c>
      <c r="O3">
        <v>7</v>
      </c>
      <c r="Q3">
        <f>K3/K13</f>
        <v>1.1538461538461537</v>
      </c>
      <c r="R3">
        <f>L3/L13</f>
        <v>1.3636363636363635</v>
      </c>
      <c r="S3">
        <f>M3/M13</f>
        <v>0.91666666666666663</v>
      </c>
      <c r="T3">
        <f t="shared" ref="T3:T9" si="0">N3/N13</f>
        <v>0.84615384615384615</v>
      </c>
      <c r="U3">
        <f t="shared" ref="U3:U9" si="1">O3/O13</f>
        <v>0.53846153846153844</v>
      </c>
      <c r="V3">
        <f t="shared" ref="V3:V9" si="2">SUM(Q3:U3)</f>
        <v>4.8187645687645686</v>
      </c>
      <c r="W3" s="5">
        <f t="shared" ref="W3:W9" si="3">V3/5</f>
        <v>0.96375291375291372</v>
      </c>
    </row>
    <row r="4" spans="1:23" x14ac:dyDescent="0.3">
      <c r="A4" t="s">
        <v>14</v>
      </c>
      <c r="B4" t="s">
        <v>9</v>
      </c>
      <c r="C4" t="s">
        <v>10</v>
      </c>
      <c r="D4" t="s">
        <v>11</v>
      </c>
      <c r="E4" t="s">
        <v>12</v>
      </c>
      <c r="F4" t="s">
        <v>11</v>
      </c>
      <c r="G4">
        <v>17</v>
      </c>
      <c r="H4">
        <v>2</v>
      </c>
      <c r="I4">
        <v>4</v>
      </c>
      <c r="J4">
        <v>4</v>
      </c>
      <c r="K4">
        <v>1</v>
      </c>
      <c r="L4">
        <v>3</v>
      </c>
      <c r="M4">
        <v>0</v>
      </c>
      <c r="N4">
        <v>2</v>
      </c>
      <c r="O4">
        <v>1</v>
      </c>
      <c r="Q4">
        <f>K4/K14</f>
        <v>6.25E-2</v>
      </c>
      <c r="R4">
        <f t="shared" ref="R4:R9" si="4">L4/L14</f>
        <v>0.2</v>
      </c>
      <c r="S4">
        <f t="shared" ref="S4:S9" si="5">M4/M14</f>
        <v>0</v>
      </c>
      <c r="T4">
        <f t="shared" si="0"/>
        <v>0.13333333333333333</v>
      </c>
      <c r="U4">
        <f t="shared" si="1"/>
        <v>6.6666666666666666E-2</v>
      </c>
      <c r="V4">
        <f t="shared" si="2"/>
        <v>0.46250000000000002</v>
      </c>
      <c r="W4" s="5">
        <f t="shared" si="3"/>
        <v>9.2499999999999999E-2</v>
      </c>
    </row>
    <row r="5" spans="1:23" x14ac:dyDescent="0.3">
      <c r="A5" t="s">
        <v>15</v>
      </c>
      <c r="B5" t="s">
        <v>9</v>
      </c>
      <c r="C5" t="s">
        <v>10</v>
      </c>
      <c r="D5" t="s">
        <v>11</v>
      </c>
      <c r="E5" t="s">
        <v>12</v>
      </c>
      <c r="F5" t="s">
        <v>11</v>
      </c>
      <c r="G5">
        <v>29</v>
      </c>
      <c r="H5">
        <v>3</v>
      </c>
      <c r="I5">
        <v>4</v>
      </c>
      <c r="J5">
        <v>3</v>
      </c>
      <c r="K5">
        <v>4</v>
      </c>
      <c r="L5">
        <v>2</v>
      </c>
      <c r="M5">
        <v>4</v>
      </c>
      <c r="N5">
        <v>5</v>
      </c>
      <c r="O5">
        <v>4</v>
      </c>
      <c r="Q5">
        <f>K5/K15</f>
        <v>0.36363636363636365</v>
      </c>
      <c r="R5">
        <f t="shared" si="4"/>
        <v>0.2</v>
      </c>
      <c r="S5">
        <f t="shared" si="5"/>
        <v>0.44444444444444442</v>
      </c>
      <c r="T5">
        <f t="shared" si="0"/>
        <v>0.55555555555555558</v>
      </c>
      <c r="U5">
        <f t="shared" si="1"/>
        <v>0.4</v>
      </c>
      <c r="V5">
        <f t="shared" si="2"/>
        <v>1.9636363636363638</v>
      </c>
      <c r="W5" s="5">
        <f t="shared" si="3"/>
        <v>0.39272727272727276</v>
      </c>
    </row>
    <row r="6" spans="1:23" x14ac:dyDescent="0.3">
      <c r="A6" t="s">
        <v>16</v>
      </c>
      <c r="B6" t="s">
        <v>9</v>
      </c>
      <c r="C6" t="s">
        <v>10</v>
      </c>
      <c r="D6" t="s">
        <v>11</v>
      </c>
      <c r="E6" t="s">
        <v>12</v>
      </c>
      <c r="F6" t="s">
        <v>11</v>
      </c>
      <c r="G6">
        <v>42</v>
      </c>
      <c r="H6">
        <v>2</v>
      </c>
      <c r="I6">
        <v>3</v>
      </c>
      <c r="J6">
        <v>7</v>
      </c>
      <c r="K6">
        <v>5</v>
      </c>
      <c r="L6">
        <v>10</v>
      </c>
      <c r="M6">
        <v>5</v>
      </c>
      <c r="N6">
        <v>6</v>
      </c>
      <c r="O6">
        <v>4</v>
      </c>
      <c r="Q6">
        <f>K6/K16</f>
        <v>0.38461538461538464</v>
      </c>
      <c r="R6">
        <f t="shared" si="4"/>
        <v>0.76923076923076927</v>
      </c>
      <c r="S6">
        <f t="shared" si="5"/>
        <v>0.41666666666666669</v>
      </c>
      <c r="T6">
        <f t="shared" si="0"/>
        <v>0.5</v>
      </c>
      <c r="U6">
        <f t="shared" si="1"/>
        <v>0.36363636363636365</v>
      </c>
      <c r="V6">
        <f t="shared" si="2"/>
        <v>2.4341491841491845</v>
      </c>
      <c r="W6" s="5">
        <f t="shared" si="3"/>
        <v>0.48682983682983688</v>
      </c>
    </row>
    <row r="7" spans="1:23" x14ac:dyDescent="0.3">
      <c r="A7" t="s">
        <v>17</v>
      </c>
      <c r="B7" t="s">
        <v>9</v>
      </c>
      <c r="C7" t="s">
        <v>10</v>
      </c>
      <c r="D7" t="s">
        <v>11</v>
      </c>
      <c r="E7" t="s">
        <v>12</v>
      </c>
      <c r="F7" t="s">
        <v>11</v>
      </c>
      <c r="G7">
        <v>86</v>
      </c>
      <c r="H7">
        <v>8</v>
      </c>
      <c r="I7">
        <v>6</v>
      </c>
      <c r="J7">
        <v>11</v>
      </c>
      <c r="K7">
        <v>15</v>
      </c>
      <c r="L7">
        <v>18</v>
      </c>
      <c r="M7">
        <v>14</v>
      </c>
      <c r="N7">
        <v>5</v>
      </c>
      <c r="O7">
        <v>9</v>
      </c>
      <c r="Q7">
        <f>K7/K17</f>
        <v>1</v>
      </c>
      <c r="R7">
        <f t="shared" si="4"/>
        <v>1.2</v>
      </c>
      <c r="S7">
        <f t="shared" si="5"/>
        <v>0.875</v>
      </c>
      <c r="T7">
        <f t="shared" si="0"/>
        <v>0.29411764705882354</v>
      </c>
      <c r="U7">
        <f t="shared" si="1"/>
        <v>0.5625</v>
      </c>
      <c r="V7">
        <f t="shared" si="2"/>
        <v>3.9316176470588236</v>
      </c>
      <c r="W7" s="5">
        <f t="shared" si="3"/>
        <v>0.78632352941176475</v>
      </c>
    </row>
    <row r="8" spans="1:23" x14ac:dyDescent="0.3">
      <c r="A8" t="s">
        <v>18</v>
      </c>
      <c r="B8" t="s">
        <v>9</v>
      </c>
      <c r="C8" t="s">
        <v>10</v>
      </c>
      <c r="D8" t="s">
        <v>11</v>
      </c>
      <c r="E8" t="s">
        <v>12</v>
      </c>
      <c r="F8" t="s">
        <v>11</v>
      </c>
      <c r="G8">
        <v>615</v>
      </c>
      <c r="H8">
        <v>62</v>
      </c>
      <c r="I8">
        <v>59</v>
      </c>
      <c r="J8">
        <v>60</v>
      </c>
      <c r="K8">
        <v>85</v>
      </c>
      <c r="L8">
        <v>79</v>
      </c>
      <c r="M8">
        <v>72</v>
      </c>
      <c r="N8">
        <v>76</v>
      </c>
      <c r="O8">
        <v>122</v>
      </c>
      <c r="Q8">
        <f>K8/K18</f>
        <v>3.2692307692307692</v>
      </c>
      <c r="R8">
        <f>L8/L18</f>
        <v>3.16</v>
      </c>
      <c r="S8">
        <f>M8/M18</f>
        <v>2.5714285714285716</v>
      </c>
      <c r="T8">
        <f t="shared" si="0"/>
        <v>2.6206896551724137</v>
      </c>
      <c r="U8">
        <f t="shared" si="1"/>
        <v>4.0666666666666664</v>
      </c>
      <c r="V8">
        <f>SUM(Q8:U8)</f>
        <v>15.688015662498422</v>
      </c>
      <c r="W8" s="5">
        <f>V8/5</f>
        <v>3.1376031324996845</v>
      </c>
    </row>
    <row r="9" spans="1:23" x14ac:dyDescent="0.3">
      <c r="A9" t="s">
        <v>19</v>
      </c>
      <c r="B9" t="s">
        <v>9</v>
      </c>
      <c r="C9" t="s">
        <v>10</v>
      </c>
      <c r="D9" t="s">
        <v>11</v>
      </c>
      <c r="E9" t="s">
        <v>12</v>
      </c>
      <c r="F9" t="s">
        <v>11</v>
      </c>
      <c r="G9">
        <v>119</v>
      </c>
      <c r="H9">
        <v>8</v>
      </c>
      <c r="I9">
        <v>14</v>
      </c>
      <c r="J9">
        <v>19</v>
      </c>
      <c r="K9">
        <v>17</v>
      </c>
      <c r="L9">
        <v>24</v>
      </c>
      <c r="M9">
        <v>12</v>
      </c>
      <c r="N9">
        <v>10</v>
      </c>
      <c r="O9">
        <v>15</v>
      </c>
      <c r="Q9">
        <f t="shared" ref="Q8:Q9" si="6">K9/K19</f>
        <v>1.4166666666666667</v>
      </c>
      <c r="R9">
        <f t="shared" si="4"/>
        <v>2</v>
      </c>
      <c r="S9">
        <f t="shared" si="5"/>
        <v>0.92307692307692313</v>
      </c>
      <c r="T9">
        <f t="shared" si="0"/>
        <v>0.76923076923076927</v>
      </c>
      <c r="U9">
        <f t="shared" si="1"/>
        <v>1.3636363636363635</v>
      </c>
      <c r="V9">
        <f t="shared" si="2"/>
        <v>6.4726107226107228</v>
      </c>
      <c r="W9" s="5">
        <f t="shared" si="3"/>
        <v>1.2945221445221446</v>
      </c>
    </row>
    <row r="11" spans="1:23" x14ac:dyDescent="0.3">
      <c r="A11" t="s">
        <v>7</v>
      </c>
      <c r="G11" t="s">
        <v>6</v>
      </c>
      <c r="H11">
        <v>2018</v>
      </c>
      <c r="I11">
        <v>2019</v>
      </c>
      <c r="J11">
        <v>2020</v>
      </c>
      <c r="K11">
        <v>2021</v>
      </c>
      <c r="L11">
        <v>2022</v>
      </c>
      <c r="M11">
        <v>2023</v>
      </c>
      <c r="N11">
        <v>2024</v>
      </c>
      <c r="O11">
        <v>2025</v>
      </c>
    </row>
    <row r="12" spans="1:23" x14ac:dyDescent="0.3">
      <c r="A12" t="s">
        <v>8</v>
      </c>
      <c r="B12" t="s">
        <v>9</v>
      </c>
      <c r="C12" t="s">
        <v>55</v>
      </c>
      <c r="H12">
        <v>12</v>
      </c>
      <c r="I12">
        <v>12</v>
      </c>
      <c r="J12">
        <v>12</v>
      </c>
      <c r="K12" s="2">
        <v>11</v>
      </c>
      <c r="L12" s="2">
        <v>13</v>
      </c>
      <c r="M12" s="2">
        <v>14</v>
      </c>
      <c r="N12" s="2">
        <v>12</v>
      </c>
      <c r="O12" s="2">
        <v>13</v>
      </c>
    </row>
    <row r="13" spans="1:23" x14ac:dyDescent="0.3">
      <c r="A13" t="s">
        <v>13</v>
      </c>
      <c r="B13" t="s">
        <v>9</v>
      </c>
      <c r="C13" t="s">
        <v>55</v>
      </c>
      <c r="H13">
        <v>12</v>
      </c>
      <c r="I13">
        <v>12</v>
      </c>
      <c r="J13">
        <v>12</v>
      </c>
      <c r="K13" s="2">
        <v>13</v>
      </c>
      <c r="L13" s="2">
        <v>11</v>
      </c>
      <c r="M13" s="2">
        <v>12</v>
      </c>
      <c r="N13" s="2">
        <v>13</v>
      </c>
      <c r="O13" s="2">
        <v>13</v>
      </c>
    </row>
    <row r="14" spans="1:23" x14ac:dyDescent="0.3">
      <c r="A14" t="s">
        <v>14</v>
      </c>
      <c r="B14" t="s">
        <v>9</v>
      </c>
      <c r="C14" t="s">
        <v>55</v>
      </c>
      <c r="H14">
        <v>10</v>
      </c>
      <c r="I14">
        <v>10</v>
      </c>
      <c r="J14">
        <v>10</v>
      </c>
      <c r="K14" s="2">
        <v>16</v>
      </c>
      <c r="L14" s="2">
        <v>15</v>
      </c>
      <c r="M14" s="2">
        <v>14</v>
      </c>
      <c r="N14" s="2">
        <v>15</v>
      </c>
      <c r="O14" s="2">
        <v>15</v>
      </c>
    </row>
    <row r="15" spans="1:23" x14ac:dyDescent="0.3">
      <c r="A15" t="s">
        <v>15</v>
      </c>
      <c r="B15" t="s">
        <v>9</v>
      </c>
      <c r="C15" t="s">
        <v>55</v>
      </c>
      <c r="H15">
        <v>10</v>
      </c>
      <c r="I15">
        <v>10</v>
      </c>
      <c r="J15">
        <v>10</v>
      </c>
      <c r="K15" s="2">
        <v>11</v>
      </c>
      <c r="L15" s="2">
        <v>10</v>
      </c>
      <c r="M15" s="2">
        <v>9</v>
      </c>
      <c r="N15" s="2">
        <v>9</v>
      </c>
      <c r="O15" s="2">
        <v>10</v>
      </c>
    </row>
    <row r="16" spans="1:23" x14ac:dyDescent="0.3">
      <c r="A16" t="s">
        <v>16</v>
      </c>
      <c r="B16" t="s">
        <v>9</v>
      </c>
      <c r="C16" t="s">
        <v>55</v>
      </c>
      <c r="H16">
        <v>8</v>
      </c>
      <c r="I16">
        <v>8</v>
      </c>
      <c r="J16">
        <v>8</v>
      </c>
      <c r="K16" s="2">
        <v>13</v>
      </c>
      <c r="L16" s="2">
        <v>13</v>
      </c>
      <c r="M16" s="2">
        <v>12</v>
      </c>
      <c r="N16" s="2">
        <v>12</v>
      </c>
      <c r="O16" s="2">
        <v>11</v>
      </c>
    </row>
    <row r="17" spans="1:15" x14ac:dyDescent="0.3">
      <c r="A17" t="s">
        <v>17</v>
      </c>
      <c r="B17" t="s">
        <v>9</v>
      </c>
      <c r="C17" t="s">
        <v>55</v>
      </c>
      <c r="H17">
        <v>17</v>
      </c>
      <c r="I17">
        <v>17</v>
      </c>
      <c r="J17">
        <v>17</v>
      </c>
      <c r="K17" s="2">
        <v>15</v>
      </c>
      <c r="L17" s="2">
        <v>15</v>
      </c>
      <c r="M17" s="2">
        <v>16</v>
      </c>
      <c r="N17" s="2">
        <v>17</v>
      </c>
      <c r="O17" s="2">
        <v>16</v>
      </c>
    </row>
    <row r="18" spans="1:15" x14ac:dyDescent="0.3">
      <c r="A18" t="s">
        <v>18</v>
      </c>
      <c r="B18" t="s">
        <v>9</v>
      </c>
      <c r="C18" t="s">
        <v>55</v>
      </c>
      <c r="H18">
        <v>31</v>
      </c>
      <c r="I18">
        <v>31</v>
      </c>
      <c r="J18">
        <v>31</v>
      </c>
      <c r="K18" s="2">
        <v>26</v>
      </c>
      <c r="L18" s="2">
        <v>25</v>
      </c>
      <c r="M18" s="2">
        <v>28</v>
      </c>
      <c r="N18" s="2">
        <v>29</v>
      </c>
      <c r="O18" s="2">
        <v>30</v>
      </c>
    </row>
    <row r="19" spans="1:15" x14ac:dyDescent="0.3">
      <c r="A19" t="s">
        <v>19</v>
      </c>
      <c r="B19" t="s">
        <v>9</v>
      </c>
      <c r="C19" t="s">
        <v>55</v>
      </c>
      <c r="H19">
        <v>13</v>
      </c>
      <c r="I19">
        <v>13</v>
      </c>
      <c r="J19">
        <v>13</v>
      </c>
      <c r="K19" s="2">
        <v>12</v>
      </c>
      <c r="L19" s="2">
        <v>12</v>
      </c>
      <c r="M19" s="2">
        <v>13</v>
      </c>
      <c r="N19" s="2">
        <v>13</v>
      </c>
      <c r="O19" s="3">
        <v>11</v>
      </c>
    </row>
    <row r="21" spans="1:15" x14ac:dyDescent="0.3">
      <c r="A21" t="s">
        <v>8</v>
      </c>
      <c r="B21" t="s">
        <v>9</v>
      </c>
      <c r="C21" t="s">
        <v>54</v>
      </c>
      <c r="D21" t="s">
        <v>23</v>
      </c>
      <c r="E21" t="s">
        <v>12</v>
      </c>
      <c r="F21" t="s">
        <v>11</v>
      </c>
      <c r="G21">
        <v>1.1200000000000001</v>
      </c>
      <c r="H21">
        <v>0.9</v>
      </c>
      <c r="I21">
        <v>0.32</v>
      </c>
      <c r="J21">
        <v>1.1399999999999999</v>
      </c>
      <c r="K21">
        <v>1.02</v>
      </c>
      <c r="L21">
        <v>2.13</v>
      </c>
      <c r="M21">
        <v>1.46</v>
      </c>
      <c r="N21">
        <v>1.1399999999999999</v>
      </c>
      <c r="O21">
        <v>0.15</v>
      </c>
    </row>
    <row r="22" spans="1:15" x14ac:dyDescent="0.3">
      <c r="A22" t="s">
        <v>13</v>
      </c>
      <c r="B22" t="s">
        <v>9</v>
      </c>
      <c r="C22" t="s">
        <v>54</v>
      </c>
      <c r="D22" t="s">
        <v>23</v>
      </c>
      <c r="E22" t="s">
        <v>12</v>
      </c>
      <c r="F22" t="s">
        <v>11</v>
      </c>
      <c r="G22">
        <v>0.75</v>
      </c>
      <c r="H22">
        <v>1.01</v>
      </c>
      <c r="I22">
        <v>0.66</v>
      </c>
      <c r="J22">
        <v>1.23</v>
      </c>
      <c r="K22">
        <v>0.4</v>
      </c>
      <c r="L22">
        <v>0.71</v>
      </c>
      <c r="M22">
        <v>1.06</v>
      </c>
      <c r="N22">
        <v>0.66</v>
      </c>
      <c r="O22">
        <v>0.34</v>
      </c>
    </row>
    <row r="23" spans="1:15" x14ac:dyDescent="0.3">
      <c r="A23" t="s">
        <v>14</v>
      </c>
      <c r="B23" t="s">
        <v>9</v>
      </c>
      <c r="C23" t="s">
        <v>54</v>
      </c>
      <c r="D23" t="s">
        <v>23</v>
      </c>
      <c r="E23" t="s">
        <v>12</v>
      </c>
      <c r="F23" t="s">
        <v>11</v>
      </c>
      <c r="G23">
        <v>0.73</v>
      </c>
      <c r="H23">
        <v>0.56999999999999995</v>
      </c>
      <c r="I23">
        <v>1.24</v>
      </c>
      <c r="J23">
        <v>0.42</v>
      </c>
      <c r="K23">
        <v>0.59</v>
      </c>
      <c r="L23">
        <v>0.59</v>
      </c>
      <c r="M23" t="s">
        <v>11</v>
      </c>
      <c r="N23">
        <v>1.1499999999999999</v>
      </c>
      <c r="O23">
        <v>0</v>
      </c>
    </row>
    <row r="24" spans="1:15" x14ac:dyDescent="0.3">
      <c r="A24" t="s">
        <v>15</v>
      </c>
      <c r="B24" t="s">
        <v>9</v>
      </c>
      <c r="C24" t="s">
        <v>54</v>
      </c>
      <c r="D24" t="s">
        <v>23</v>
      </c>
      <c r="E24" t="s">
        <v>12</v>
      </c>
      <c r="F24" t="s">
        <v>11</v>
      </c>
      <c r="G24">
        <v>0.28999999999999998</v>
      </c>
      <c r="H24">
        <v>0.2</v>
      </c>
      <c r="I24">
        <v>0.17</v>
      </c>
      <c r="J24">
        <v>0.47</v>
      </c>
      <c r="K24">
        <v>0.18</v>
      </c>
      <c r="L24">
        <v>0.28999999999999998</v>
      </c>
      <c r="M24">
        <v>0.22</v>
      </c>
      <c r="N24">
        <v>0.59</v>
      </c>
      <c r="O24">
        <v>0.16</v>
      </c>
    </row>
    <row r="25" spans="1:15" x14ac:dyDescent="0.3">
      <c r="A25" t="s">
        <v>16</v>
      </c>
      <c r="B25" t="s">
        <v>9</v>
      </c>
      <c r="C25" t="s">
        <v>54</v>
      </c>
      <c r="D25" t="s">
        <v>23</v>
      </c>
      <c r="E25" t="s">
        <v>12</v>
      </c>
      <c r="F25" t="s">
        <v>11</v>
      </c>
      <c r="G25">
        <v>0.47</v>
      </c>
      <c r="H25">
        <v>0.54</v>
      </c>
      <c r="I25">
        <v>0.19</v>
      </c>
      <c r="J25">
        <v>0.55000000000000004</v>
      </c>
      <c r="K25">
        <v>0.3</v>
      </c>
      <c r="L25">
        <v>0.64</v>
      </c>
      <c r="M25">
        <v>0.57999999999999996</v>
      </c>
      <c r="N25">
        <v>0.27</v>
      </c>
      <c r="O25">
        <v>0.48</v>
      </c>
    </row>
    <row r="26" spans="1:15" x14ac:dyDescent="0.3">
      <c r="A26" t="s">
        <v>17</v>
      </c>
      <c r="B26" t="s">
        <v>9</v>
      </c>
      <c r="C26" t="s">
        <v>54</v>
      </c>
      <c r="D26" t="s">
        <v>23</v>
      </c>
      <c r="E26" t="s">
        <v>12</v>
      </c>
      <c r="F26" t="s">
        <v>11</v>
      </c>
      <c r="G26">
        <v>1.18</v>
      </c>
      <c r="H26">
        <v>0.45</v>
      </c>
      <c r="I26">
        <v>0.45</v>
      </c>
      <c r="J26">
        <v>0.38</v>
      </c>
      <c r="K26">
        <v>2.1800000000000002</v>
      </c>
      <c r="L26">
        <v>1.1200000000000001</v>
      </c>
      <c r="M26">
        <v>1.66</v>
      </c>
      <c r="N26">
        <v>0.82</v>
      </c>
      <c r="O26">
        <v>1.1599999999999999</v>
      </c>
    </row>
    <row r="27" spans="1:15" x14ac:dyDescent="0.3">
      <c r="A27" t="s">
        <v>18</v>
      </c>
      <c r="B27" t="s">
        <v>9</v>
      </c>
      <c r="C27" t="s">
        <v>54</v>
      </c>
      <c r="D27" t="s">
        <v>23</v>
      </c>
      <c r="E27" t="s">
        <v>12</v>
      </c>
      <c r="F27" t="s">
        <v>11</v>
      </c>
      <c r="G27">
        <v>0.8</v>
      </c>
      <c r="H27">
        <v>0.77</v>
      </c>
      <c r="I27">
        <v>0.9</v>
      </c>
      <c r="J27">
        <v>1.2</v>
      </c>
      <c r="K27">
        <v>0.96</v>
      </c>
      <c r="L27">
        <v>0.53</v>
      </c>
      <c r="M27">
        <v>0.93</v>
      </c>
      <c r="N27">
        <v>0.65</v>
      </c>
      <c r="O27">
        <v>0.63</v>
      </c>
    </row>
    <row r="28" spans="1:15" x14ac:dyDescent="0.3">
      <c r="A28" t="s">
        <v>19</v>
      </c>
      <c r="B28" t="s">
        <v>9</v>
      </c>
      <c r="C28" t="s">
        <v>54</v>
      </c>
      <c r="D28" t="s">
        <v>23</v>
      </c>
      <c r="E28" t="s">
        <v>12</v>
      </c>
      <c r="F28" t="s">
        <v>11</v>
      </c>
      <c r="G28">
        <v>0.44</v>
      </c>
      <c r="H28">
        <v>0.27</v>
      </c>
      <c r="I28">
        <v>0.51</v>
      </c>
      <c r="J28">
        <v>0.56000000000000005</v>
      </c>
      <c r="K28">
        <v>0.53</v>
      </c>
      <c r="L28">
        <v>0.44</v>
      </c>
      <c r="M28">
        <v>0.46</v>
      </c>
      <c r="N28">
        <v>0.19</v>
      </c>
      <c r="O28">
        <v>0.38</v>
      </c>
    </row>
    <row r="29" spans="1:15" x14ac:dyDescent="0.3">
      <c r="A29" t="s">
        <v>7</v>
      </c>
    </row>
    <row r="30" spans="1:15" x14ac:dyDescent="0.3">
      <c r="A30" t="s">
        <v>8</v>
      </c>
      <c r="B30" t="s">
        <v>9</v>
      </c>
      <c r="C30" t="s">
        <v>20</v>
      </c>
      <c r="D30" t="s">
        <v>11</v>
      </c>
      <c r="E30" t="s">
        <v>12</v>
      </c>
      <c r="F30" t="s">
        <v>11</v>
      </c>
      <c r="G30">
        <v>15.4</v>
      </c>
      <c r="H30">
        <v>25</v>
      </c>
      <c r="I30">
        <v>22.2</v>
      </c>
      <c r="J30">
        <v>0</v>
      </c>
      <c r="K30">
        <v>16.7</v>
      </c>
      <c r="L30">
        <v>12.5</v>
      </c>
      <c r="M30">
        <v>0</v>
      </c>
      <c r="N30">
        <v>21.4</v>
      </c>
      <c r="O30">
        <v>0</v>
      </c>
    </row>
    <row r="31" spans="1:15" x14ac:dyDescent="0.3">
      <c r="A31" t="s">
        <v>13</v>
      </c>
      <c r="B31" t="s">
        <v>9</v>
      </c>
      <c r="C31" t="s">
        <v>20</v>
      </c>
      <c r="D31" t="s">
        <v>11</v>
      </c>
      <c r="E31" t="s">
        <v>12</v>
      </c>
      <c r="F31" t="s">
        <v>11</v>
      </c>
      <c r="G31">
        <v>38.200000000000003</v>
      </c>
      <c r="H31">
        <v>9.1</v>
      </c>
      <c r="I31">
        <v>50</v>
      </c>
      <c r="J31">
        <v>55.6</v>
      </c>
      <c r="K31">
        <v>33.299999999999997</v>
      </c>
      <c r="L31">
        <v>33.299999999999997</v>
      </c>
      <c r="M31">
        <v>27.3</v>
      </c>
      <c r="N31">
        <v>45.5</v>
      </c>
      <c r="O31">
        <v>71.400000000000006</v>
      </c>
    </row>
    <row r="32" spans="1:15" x14ac:dyDescent="0.3">
      <c r="A32" t="s">
        <v>14</v>
      </c>
      <c r="B32" t="s">
        <v>9</v>
      </c>
      <c r="C32" t="s">
        <v>20</v>
      </c>
      <c r="D32" t="s">
        <v>11</v>
      </c>
      <c r="E32" t="s">
        <v>12</v>
      </c>
      <c r="F32" t="s">
        <v>11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 t="s">
        <v>11</v>
      </c>
      <c r="N32">
        <v>0</v>
      </c>
      <c r="O32">
        <v>0</v>
      </c>
    </row>
    <row r="33" spans="1:15" x14ac:dyDescent="0.3">
      <c r="A33" t="s">
        <v>15</v>
      </c>
      <c r="B33" t="s">
        <v>9</v>
      </c>
      <c r="C33" t="s">
        <v>20</v>
      </c>
      <c r="D33" t="s">
        <v>11</v>
      </c>
      <c r="E33" t="s">
        <v>12</v>
      </c>
      <c r="F33" t="s">
        <v>11</v>
      </c>
      <c r="G33">
        <v>31</v>
      </c>
      <c r="H33">
        <v>33.299999999999997</v>
      </c>
      <c r="I33">
        <v>25</v>
      </c>
      <c r="J33">
        <v>33.299999999999997</v>
      </c>
      <c r="K33">
        <v>25</v>
      </c>
      <c r="L33">
        <v>0</v>
      </c>
      <c r="M33">
        <v>25</v>
      </c>
      <c r="N33">
        <v>60</v>
      </c>
      <c r="O33">
        <v>25</v>
      </c>
    </row>
    <row r="34" spans="1:15" x14ac:dyDescent="0.3">
      <c r="A34" t="s">
        <v>16</v>
      </c>
      <c r="B34" t="s">
        <v>9</v>
      </c>
      <c r="C34" t="s">
        <v>20</v>
      </c>
      <c r="D34" t="s">
        <v>11</v>
      </c>
      <c r="E34" t="s">
        <v>12</v>
      </c>
      <c r="F34" t="s">
        <v>11</v>
      </c>
      <c r="G34">
        <v>57.1</v>
      </c>
      <c r="H34">
        <v>100</v>
      </c>
      <c r="I34">
        <v>66.7</v>
      </c>
      <c r="J34">
        <v>71.400000000000006</v>
      </c>
      <c r="K34">
        <v>60</v>
      </c>
      <c r="L34">
        <v>40</v>
      </c>
      <c r="M34">
        <v>40</v>
      </c>
      <c r="N34">
        <v>66.7</v>
      </c>
      <c r="O34">
        <v>50</v>
      </c>
    </row>
    <row r="35" spans="1:15" x14ac:dyDescent="0.3">
      <c r="A35" t="s">
        <v>17</v>
      </c>
      <c r="B35" t="s">
        <v>9</v>
      </c>
      <c r="C35" t="s">
        <v>20</v>
      </c>
      <c r="D35" t="s">
        <v>11</v>
      </c>
      <c r="E35" t="s">
        <v>12</v>
      </c>
      <c r="F35" t="s">
        <v>11</v>
      </c>
      <c r="G35">
        <v>39.5</v>
      </c>
      <c r="H35">
        <v>0</v>
      </c>
      <c r="I35">
        <v>33.299999999999997</v>
      </c>
      <c r="J35">
        <v>9.1</v>
      </c>
      <c r="K35">
        <v>20</v>
      </c>
      <c r="L35">
        <v>61.1</v>
      </c>
      <c r="M35">
        <v>78.599999999999994</v>
      </c>
      <c r="N35">
        <v>60</v>
      </c>
      <c r="O35">
        <v>33.299999999999997</v>
      </c>
    </row>
    <row r="36" spans="1:15" x14ac:dyDescent="0.3">
      <c r="A36" t="s">
        <v>18</v>
      </c>
      <c r="B36" t="s">
        <v>9</v>
      </c>
      <c r="C36" t="s">
        <v>20</v>
      </c>
      <c r="D36" t="s">
        <v>11</v>
      </c>
      <c r="E36" t="s">
        <v>12</v>
      </c>
      <c r="F36" t="s">
        <v>11</v>
      </c>
      <c r="G36">
        <v>32</v>
      </c>
      <c r="H36">
        <v>24.2</v>
      </c>
      <c r="I36">
        <v>16.899999999999999</v>
      </c>
      <c r="J36">
        <v>31.7</v>
      </c>
      <c r="K36">
        <v>24.7</v>
      </c>
      <c r="L36">
        <v>36.700000000000003</v>
      </c>
      <c r="M36">
        <v>29.2</v>
      </c>
      <c r="N36">
        <v>23.7</v>
      </c>
      <c r="O36">
        <v>52.5</v>
      </c>
    </row>
    <row r="37" spans="1:15" x14ac:dyDescent="0.3">
      <c r="A37" t="s">
        <v>19</v>
      </c>
      <c r="B37" t="s">
        <v>9</v>
      </c>
      <c r="C37" t="s">
        <v>20</v>
      </c>
      <c r="D37" t="s">
        <v>11</v>
      </c>
      <c r="E37" t="s">
        <v>12</v>
      </c>
      <c r="F37" t="s">
        <v>11</v>
      </c>
      <c r="G37">
        <v>5.9</v>
      </c>
      <c r="H37">
        <v>0</v>
      </c>
      <c r="I37">
        <v>7.1</v>
      </c>
      <c r="J37">
        <v>5.3</v>
      </c>
      <c r="K37">
        <v>5.9</v>
      </c>
      <c r="L37">
        <v>4.2</v>
      </c>
      <c r="M37">
        <v>8.3000000000000007</v>
      </c>
      <c r="N37">
        <v>0</v>
      </c>
      <c r="O37">
        <v>13.3</v>
      </c>
    </row>
    <row r="38" spans="1:15" x14ac:dyDescent="0.3">
      <c r="A38" t="s">
        <v>7</v>
      </c>
    </row>
    <row r="39" spans="1:15" x14ac:dyDescent="0.3">
      <c r="A39" t="s">
        <v>8</v>
      </c>
      <c r="B39" t="s">
        <v>9</v>
      </c>
      <c r="C39" t="s">
        <v>21</v>
      </c>
      <c r="D39" t="s">
        <v>11</v>
      </c>
      <c r="E39" t="s">
        <v>12</v>
      </c>
      <c r="F39" t="s">
        <v>11</v>
      </c>
      <c r="G39">
        <v>18.5</v>
      </c>
      <c r="H39">
        <v>15</v>
      </c>
      <c r="I39">
        <v>9</v>
      </c>
      <c r="J39">
        <v>0</v>
      </c>
      <c r="K39">
        <v>10</v>
      </c>
      <c r="L39">
        <v>18</v>
      </c>
      <c r="M39">
        <v>0</v>
      </c>
      <c r="N39">
        <v>29</v>
      </c>
      <c r="O39">
        <v>0</v>
      </c>
    </row>
    <row r="40" spans="1:15" x14ac:dyDescent="0.3">
      <c r="A40" t="s">
        <v>13</v>
      </c>
      <c r="B40" t="s">
        <v>9</v>
      </c>
      <c r="C40" t="s">
        <v>21</v>
      </c>
      <c r="D40" t="s">
        <v>11</v>
      </c>
      <c r="E40" t="s">
        <v>12</v>
      </c>
      <c r="F40" t="s">
        <v>11</v>
      </c>
      <c r="G40">
        <v>11.9</v>
      </c>
      <c r="H40">
        <v>22</v>
      </c>
      <c r="I40">
        <v>21.6</v>
      </c>
      <c r="J40">
        <v>12.4</v>
      </c>
      <c r="K40">
        <v>6.4</v>
      </c>
      <c r="L40">
        <v>12</v>
      </c>
      <c r="M40">
        <v>27.3</v>
      </c>
      <c r="N40">
        <v>7.2</v>
      </c>
      <c r="O40">
        <v>0.6</v>
      </c>
    </row>
    <row r="41" spans="1:15" x14ac:dyDescent="0.3">
      <c r="A41" t="s">
        <v>14</v>
      </c>
      <c r="B41" t="s">
        <v>9</v>
      </c>
      <c r="C41" t="s">
        <v>21</v>
      </c>
      <c r="D41" t="s">
        <v>11</v>
      </c>
      <c r="E41" t="s">
        <v>12</v>
      </c>
      <c r="F41" t="s">
        <v>11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 t="s">
        <v>11</v>
      </c>
      <c r="N41">
        <v>0</v>
      </c>
      <c r="O41">
        <v>0</v>
      </c>
    </row>
    <row r="42" spans="1:15" x14ac:dyDescent="0.3">
      <c r="A42" t="s">
        <v>15</v>
      </c>
      <c r="B42" t="s">
        <v>9</v>
      </c>
      <c r="C42" t="s">
        <v>21</v>
      </c>
      <c r="D42" t="s">
        <v>11</v>
      </c>
      <c r="E42" t="s">
        <v>12</v>
      </c>
      <c r="F42" t="s">
        <v>11</v>
      </c>
      <c r="G42">
        <v>3.9</v>
      </c>
      <c r="H42">
        <v>5</v>
      </c>
      <c r="I42">
        <v>8</v>
      </c>
      <c r="J42">
        <v>10</v>
      </c>
      <c r="K42">
        <v>2</v>
      </c>
      <c r="L42">
        <v>0</v>
      </c>
      <c r="M42">
        <v>2</v>
      </c>
      <c r="N42">
        <v>2.7</v>
      </c>
      <c r="O42">
        <v>0</v>
      </c>
    </row>
    <row r="43" spans="1:15" x14ac:dyDescent="0.3">
      <c r="A43" t="s">
        <v>16</v>
      </c>
      <c r="B43" t="s">
        <v>9</v>
      </c>
      <c r="C43" t="s">
        <v>21</v>
      </c>
      <c r="D43" t="s">
        <v>11</v>
      </c>
      <c r="E43" t="s">
        <v>12</v>
      </c>
      <c r="F43" t="s">
        <v>11</v>
      </c>
      <c r="G43">
        <v>7.4</v>
      </c>
      <c r="H43">
        <v>9.5</v>
      </c>
      <c r="I43">
        <v>3</v>
      </c>
      <c r="J43">
        <v>14.8</v>
      </c>
      <c r="K43">
        <v>9</v>
      </c>
      <c r="L43">
        <v>4.5</v>
      </c>
      <c r="M43">
        <v>12</v>
      </c>
      <c r="N43">
        <v>1.8</v>
      </c>
      <c r="O43">
        <v>1.5</v>
      </c>
    </row>
    <row r="44" spans="1:15" x14ac:dyDescent="0.3">
      <c r="A44" t="s">
        <v>17</v>
      </c>
      <c r="B44" t="s">
        <v>9</v>
      </c>
      <c r="C44" t="s">
        <v>21</v>
      </c>
      <c r="D44" t="s">
        <v>11</v>
      </c>
      <c r="E44" t="s">
        <v>12</v>
      </c>
      <c r="F44" t="s">
        <v>11</v>
      </c>
      <c r="G44">
        <v>22.9</v>
      </c>
      <c r="H44">
        <v>0</v>
      </c>
      <c r="I44">
        <v>39.5</v>
      </c>
      <c r="J44">
        <v>2</v>
      </c>
      <c r="K44">
        <v>103</v>
      </c>
      <c r="L44">
        <v>14.4</v>
      </c>
      <c r="M44">
        <v>16</v>
      </c>
      <c r="N44">
        <v>11.7</v>
      </c>
      <c r="O44">
        <v>7</v>
      </c>
    </row>
    <row r="45" spans="1:15" x14ac:dyDescent="0.3">
      <c r="A45" t="s">
        <v>18</v>
      </c>
      <c r="B45" t="s">
        <v>9</v>
      </c>
      <c r="C45" t="s">
        <v>21</v>
      </c>
      <c r="D45" t="s">
        <v>11</v>
      </c>
      <c r="E45" t="s">
        <v>12</v>
      </c>
      <c r="F45" t="s">
        <v>11</v>
      </c>
      <c r="G45">
        <v>12.6</v>
      </c>
      <c r="H45">
        <v>27.9</v>
      </c>
      <c r="I45">
        <v>23.3</v>
      </c>
      <c r="J45">
        <v>24.9</v>
      </c>
      <c r="K45">
        <v>23.1</v>
      </c>
      <c r="L45">
        <v>8.6999999999999993</v>
      </c>
      <c r="M45">
        <v>16</v>
      </c>
      <c r="N45">
        <v>9.6999999999999993</v>
      </c>
      <c r="O45">
        <v>1.7</v>
      </c>
    </row>
    <row r="46" spans="1:15" x14ac:dyDescent="0.3">
      <c r="A46" t="s">
        <v>19</v>
      </c>
      <c r="B46" t="s">
        <v>9</v>
      </c>
      <c r="C46" t="s">
        <v>21</v>
      </c>
      <c r="D46" t="s">
        <v>11</v>
      </c>
      <c r="E46" t="s">
        <v>12</v>
      </c>
      <c r="F46" t="s">
        <v>11</v>
      </c>
      <c r="G46">
        <v>5.0999999999999996</v>
      </c>
      <c r="H46">
        <v>0</v>
      </c>
      <c r="I46">
        <v>7</v>
      </c>
      <c r="J46">
        <v>1</v>
      </c>
      <c r="K46">
        <v>0</v>
      </c>
      <c r="L46">
        <v>9</v>
      </c>
      <c r="M46">
        <v>18</v>
      </c>
      <c r="N46">
        <v>0</v>
      </c>
      <c r="O46">
        <v>0.5</v>
      </c>
    </row>
    <row r="47" spans="1:15" x14ac:dyDescent="0.3">
      <c r="A47" t="s">
        <v>7</v>
      </c>
    </row>
    <row r="48" spans="1:15" x14ac:dyDescent="0.3">
      <c r="A48" t="s">
        <v>8</v>
      </c>
      <c r="B48" t="s">
        <v>9</v>
      </c>
      <c r="C48" t="s">
        <v>22</v>
      </c>
      <c r="D48" t="s">
        <v>23</v>
      </c>
      <c r="E48" t="s">
        <v>12</v>
      </c>
      <c r="F48" t="s">
        <v>24</v>
      </c>
      <c r="G48">
        <v>21.2</v>
      </c>
      <c r="H48">
        <v>0</v>
      </c>
      <c r="I48">
        <v>0</v>
      </c>
      <c r="J48">
        <v>0</v>
      </c>
      <c r="K48">
        <v>33.299999999999997</v>
      </c>
      <c r="L48">
        <v>50</v>
      </c>
      <c r="M48">
        <v>42.9</v>
      </c>
      <c r="N48">
        <v>14.3</v>
      </c>
      <c r="O48">
        <v>0</v>
      </c>
    </row>
    <row r="49" spans="1:15" x14ac:dyDescent="0.3">
      <c r="A49" t="s">
        <v>13</v>
      </c>
      <c r="B49" t="s">
        <v>9</v>
      </c>
      <c r="C49" t="s">
        <v>22</v>
      </c>
      <c r="D49" t="s">
        <v>23</v>
      </c>
      <c r="E49" t="s">
        <v>12</v>
      </c>
      <c r="F49" t="s">
        <v>24</v>
      </c>
      <c r="G49">
        <v>7.9</v>
      </c>
      <c r="H49">
        <v>9.1</v>
      </c>
      <c r="I49">
        <v>10</v>
      </c>
      <c r="J49">
        <v>11.1</v>
      </c>
      <c r="K49">
        <v>0</v>
      </c>
      <c r="L49">
        <v>13.3</v>
      </c>
      <c r="M49">
        <v>9.1</v>
      </c>
      <c r="N49">
        <v>9.1</v>
      </c>
      <c r="O49">
        <v>0</v>
      </c>
    </row>
    <row r="50" spans="1:15" x14ac:dyDescent="0.3">
      <c r="A50" t="s">
        <v>14</v>
      </c>
      <c r="B50" t="s">
        <v>9</v>
      </c>
      <c r="C50" t="s">
        <v>22</v>
      </c>
      <c r="D50" t="s">
        <v>23</v>
      </c>
      <c r="E50" t="s">
        <v>12</v>
      </c>
      <c r="F50" t="s">
        <v>24</v>
      </c>
      <c r="G50">
        <v>11.8</v>
      </c>
      <c r="H50">
        <v>0</v>
      </c>
      <c r="I50">
        <v>50</v>
      </c>
      <c r="J50">
        <v>0</v>
      </c>
      <c r="K50">
        <v>0</v>
      </c>
      <c r="L50">
        <v>0</v>
      </c>
      <c r="M50" t="s">
        <v>11</v>
      </c>
      <c r="N50">
        <v>0</v>
      </c>
      <c r="O50">
        <v>0</v>
      </c>
    </row>
    <row r="51" spans="1:15" x14ac:dyDescent="0.3">
      <c r="A51" t="s">
        <v>15</v>
      </c>
      <c r="B51" t="s">
        <v>9</v>
      </c>
      <c r="C51" t="s">
        <v>22</v>
      </c>
      <c r="D51" t="s">
        <v>23</v>
      </c>
      <c r="E51" t="s">
        <v>12</v>
      </c>
      <c r="F51" t="s">
        <v>24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</row>
    <row r="52" spans="1:15" x14ac:dyDescent="0.3">
      <c r="A52" t="s">
        <v>16</v>
      </c>
      <c r="B52" t="s">
        <v>9</v>
      </c>
      <c r="C52" t="s">
        <v>22</v>
      </c>
      <c r="D52" t="s">
        <v>23</v>
      </c>
      <c r="E52" t="s">
        <v>12</v>
      </c>
      <c r="F52" t="s">
        <v>24</v>
      </c>
      <c r="G52">
        <v>4.8</v>
      </c>
      <c r="H52">
        <v>0</v>
      </c>
      <c r="I52">
        <v>0</v>
      </c>
      <c r="J52">
        <v>14.3</v>
      </c>
      <c r="K52">
        <v>0</v>
      </c>
      <c r="L52">
        <v>0</v>
      </c>
      <c r="M52">
        <v>20</v>
      </c>
      <c r="N52">
        <v>0</v>
      </c>
      <c r="O52">
        <v>0</v>
      </c>
    </row>
    <row r="53" spans="1:15" x14ac:dyDescent="0.3">
      <c r="A53" t="s">
        <v>17</v>
      </c>
      <c r="B53" t="s">
        <v>9</v>
      </c>
      <c r="C53" t="s">
        <v>22</v>
      </c>
      <c r="D53" t="s">
        <v>23</v>
      </c>
      <c r="E53" t="s">
        <v>12</v>
      </c>
      <c r="F53" t="s">
        <v>24</v>
      </c>
      <c r="G53">
        <v>20.9</v>
      </c>
      <c r="H53">
        <v>12.5</v>
      </c>
      <c r="I53">
        <v>16.7</v>
      </c>
      <c r="J53">
        <v>9.1</v>
      </c>
      <c r="K53">
        <v>40</v>
      </c>
      <c r="L53">
        <v>11.1</v>
      </c>
      <c r="M53">
        <v>35.700000000000003</v>
      </c>
      <c r="N53">
        <v>20</v>
      </c>
      <c r="O53">
        <v>11.1</v>
      </c>
    </row>
    <row r="54" spans="1:15" x14ac:dyDescent="0.3">
      <c r="A54" t="s">
        <v>18</v>
      </c>
      <c r="B54" t="s">
        <v>9</v>
      </c>
      <c r="C54" t="s">
        <v>22</v>
      </c>
      <c r="D54" t="s">
        <v>23</v>
      </c>
      <c r="E54" t="s">
        <v>12</v>
      </c>
      <c r="F54" t="s">
        <v>24</v>
      </c>
      <c r="G54">
        <v>8.8000000000000007</v>
      </c>
      <c r="H54">
        <v>8.1</v>
      </c>
      <c r="I54">
        <v>10.199999999999999</v>
      </c>
      <c r="J54">
        <v>13.3</v>
      </c>
      <c r="K54">
        <v>14.1</v>
      </c>
      <c r="L54">
        <v>5.0999999999999996</v>
      </c>
      <c r="M54">
        <v>9.6999999999999993</v>
      </c>
      <c r="N54">
        <v>5.3</v>
      </c>
      <c r="O54">
        <v>6.6</v>
      </c>
    </row>
    <row r="55" spans="1:15" x14ac:dyDescent="0.3">
      <c r="A55" t="s">
        <v>19</v>
      </c>
      <c r="B55" t="s">
        <v>9</v>
      </c>
      <c r="C55" t="s">
        <v>22</v>
      </c>
      <c r="D55" t="s">
        <v>23</v>
      </c>
      <c r="E55" t="s">
        <v>12</v>
      </c>
      <c r="F55" t="s">
        <v>24</v>
      </c>
      <c r="G55">
        <v>3.4</v>
      </c>
      <c r="H55">
        <v>0</v>
      </c>
      <c r="I55">
        <v>0</v>
      </c>
      <c r="J55">
        <v>5.3</v>
      </c>
      <c r="K55">
        <v>5.9</v>
      </c>
      <c r="L55">
        <v>0</v>
      </c>
      <c r="M55">
        <v>0</v>
      </c>
      <c r="N55">
        <v>10</v>
      </c>
      <c r="O55">
        <v>6.7</v>
      </c>
    </row>
    <row r="56" spans="1:15" x14ac:dyDescent="0.3">
      <c r="A56" t="s">
        <v>7</v>
      </c>
    </row>
    <row r="57" spans="1:15" x14ac:dyDescent="0.3">
      <c r="A57" t="s">
        <v>8</v>
      </c>
      <c r="B57" t="s">
        <v>9</v>
      </c>
      <c r="C57" t="s">
        <v>25</v>
      </c>
      <c r="D57" t="s">
        <v>11</v>
      </c>
      <c r="E57" t="s">
        <v>12</v>
      </c>
      <c r="F57" t="s">
        <v>26</v>
      </c>
      <c r="G57">
        <v>29.2</v>
      </c>
      <c r="H57">
        <v>0</v>
      </c>
      <c r="I57">
        <v>20</v>
      </c>
      <c r="J57">
        <v>0</v>
      </c>
      <c r="K57">
        <v>33.299999999999997</v>
      </c>
      <c r="L57">
        <v>50</v>
      </c>
      <c r="M57">
        <v>28.6</v>
      </c>
      <c r="N57">
        <v>35.700000000000003</v>
      </c>
      <c r="O57">
        <v>0</v>
      </c>
    </row>
    <row r="58" spans="1:15" x14ac:dyDescent="0.3">
      <c r="A58" t="s">
        <v>13</v>
      </c>
      <c r="B58" t="s">
        <v>9</v>
      </c>
      <c r="C58" t="s">
        <v>25</v>
      </c>
      <c r="D58" t="s">
        <v>11</v>
      </c>
      <c r="E58" t="s">
        <v>12</v>
      </c>
      <c r="F58" t="s">
        <v>26</v>
      </c>
      <c r="G58">
        <v>24.1</v>
      </c>
      <c r="H58">
        <v>40</v>
      </c>
      <c r="I58">
        <v>11.1</v>
      </c>
      <c r="J58">
        <v>22.2</v>
      </c>
      <c r="K58">
        <v>7.1</v>
      </c>
      <c r="L58">
        <v>28.6</v>
      </c>
      <c r="M58">
        <v>20</v>
      </c>
      <c r="N58">
        <v>36.4</v>
      </c>
      <c r="O58">
        <v>33.299999999999997</v>
      </c>
    </row>
    <row r="59" spans="1:15" x14ac:dyDescent="0.3">
      <c r="A59" t="s">
        <v>14</v>
      </c>
      <c r="B59" t="s">
        <v>9</v>
      </c>
      <c r="C59" t="s">
        <v>25</v>
      </c>
      <c r="D59" t="s">
        <v>11</v>
      </c>
      <c r="E59" t="s">
        <v>12</v>
      </c>
      <c r="F59" t="s">
        <v>26</v>
      </c>
      <c r="G59">
        <v>31.3</v>
      </c>
      <c r="H59">
        <v>50</v>
      </c>
      <c r="I59">
        <v>50</v>
      </c>
      <c r="J59">
        <v>0</v>
      </c>
      <c r="K59">
        <v>100</v>
      </c>
      <c r="L59">
        <v>33.299999999999997</v>
      </c>
      <c r="M59" t="s">
        <v>11</v>
      </c>
      <c r="N59">
        <v>0</v>
      </c>
      <c r="O59">
        <v>0</v>
      </c>
    </row>
    <row r="60" spans="1:15" x14ac:dyDescent="0.3">
      <c r="A60" t="s">
        <v>15</v>
      </c>
      <c r="B60" t="s">
        <v>9</v>
      </c>
      <c r="C60" t="s">
        <v>25</v>
      </c>
      <c r="D60" t="s">
        <v>11</v>
      </c>
      <c r="E60" t="s">
        <v>12</v>
      </c>
      <c r="F60" t="s">
        <v>26</v>
      </c>
      <c r="G60">
        <v>14.3</v>
      </c>
      <c r="H60">
        <v>0</v>
      </c>
      <c r="I60">
        <v>0</v>
      </c>
      <c r="J60">
        <v>0</v>
      </c>
      <c r="K60">
        <v>33.299999999999997</v>
      </c>
      <c r="L60">
        <v>0</v>
      </c>
      <c r="M60">
        <v>25</v>
      </c>
      <c r="N60">
        <v>20</v>
      </c>
      <c r="O60">
        <v>25</v>
      </c>
    </row>
    <row r="61" spans="1:15" x14ac:dyDescent="0.3">
      <c r="A61" t="s">
        <v>16</v>
      </c>
      <c r="B61" t="s">
        <v>9</v>
      </c>
      <c r="C61" t="s">
        <v>25</v>
      </c>
      <c r="D61" t="s">
        <v>11</v>
      </c>
      <c r="E61" t="s">
        <v>12</v>
      </c>
      <c r="F61" t="s">
        <v>26</v>
      </c>
      <c r="G61">
        <v>12.2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50</v>
      </c>
      <c r="O61">
        <v>50</v>
      </c>
    </row>
    <row r="62" spans="1:15" x14ac:dyDescent="0.3">
      <c r="A62" t="s">
        <v>17</v>
      </c>
      <c r="B62" t="s">
        <v>9</v>
      </c>
      <c r="C62" t="s">
        <v>25</v>
      </c>
      <c r="D62" t="s">
        <v>11</v>
      </c>
      <c r="E62" t="s">
        <v>12</v>
      </c>
      <c r="F62" t="s">
        <v>26</v>
      </c>
      <c r="G62">
        <v>26.5</v>
      </c>
      <c r="H62">
        <v>33.299999999999997</v>
      </c>
      <c r="I62">
        <v>0</v>
      </c>
      <c r="J62">
        <v>16.7</v>
      </c>
      <c r="K62">
        <v>33.299999999999997</v>
      </c>
      <c r="L62">
        <v>15.4</v>
      </c>
      <c r="M62">
        <v>25</v>
      </c>
      <c r="N62">
        <v>20</v>
      </c>
      <c r="O62">
        <v>55.6</v>
      </c>
    </row>
    <row r="63" spans="1:15" x14ac:dyDescent="0.3">
      <c r="A63" t="s">
        <v>18</v>
      </c>
      <c r="B63" t="s">
        <v>9</v>
      </c>
      <c r="C63" t="s">
        <v>25</v>
      </c>
      <c r="D63" t="s">
        <v>11</v>
      </c>
      <c r="E63" t="s">
        <v>12</v>
      </c>
      <c r="F63" t="s">
        <v>26</v>
      </c>
      <c r="G63">
        <v>21.3</v>
      </c>
      <c r="H63">
        <v>21.4</v>
      </c>
      <c r="I63">
        <v>17.100000000000001</v>
      </c>
      <c r="J63">
        <v>29.2</v>
      </c>
      <c r="K63">
        <v>25.8</v>
      </c>
      <c r="L63">
        <v>18</v>
      </c>
      <c r="M63">
        <v>22.6</v>
      </c>
      <c r="N63">
        <v>21.9</v>
      </c>
      <c r="O63">
        <v>16.7</v>
      </c>
    </row>
    <row r="64" spans="1:15" x14ac:dyDescent="0.3">
      <c r="A64" t="s">
        <v>19</v>
      </c>
      <c r="B64" t="s">
        <v>9</v>
      </c>
      <c r="C64" t="s">
        <v>25</v>
      </c>
      <c r="D64" t="s">
        <v>11</v>
      </c>
      <c r="E64" t="s">
        <v>12</v>
      </c>
      <c r="F64" t="s">
        <v>26</v>
      </c>
      <c r="G64">
        <v>14.9</v>
      </c>
      <c r="H64">
        <v>20</v>
      </c>
      <c r="I64">
        <v>14.3</v>
      </c>
      <c r="J64">
        <v>20</v>
      </c>
      <c r="K64">
        <v>21.4</v>
      </c>
      <c r="L64">
        <v>5</v>
      </c>
      <c r="M64">
        <v>16.7</v>
      </c>
      <c r="N64">
        <v>11.1</v>
      </c>
      <c r="O64">
        <v>18.2</v>
      </c>
    </row>
    <row r="65" spans="1:15" x14ac:dyDescent="0.3">
      <c r="A65" t="s">
        <v>7</v>
      </c>
    </row>
    <row r="66" spans="1:15" x14ac:dyDescent="0.3">
      <c r="A66" t="s">
        <v>8</v>
      </c>
      <c r="B66" t="s">
        <v>9</v>
      </c>
      <c r="C66" t="s">
        <v>27</v>
      </c>
      <c r="D66" t="s">
        <v>11</v>
      </c>
      <c r="E66" t="s">
        <v>12</v>
      </c>
      <c r="F66" t="s">
        <v>11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</row>
    <row r="67" spans="1:15" x14ac:dyDescent="0.3">
      <c r="A67" t="s">
        <v>13</v>
      </c>
      <c r="B67" t="s">
        <v>9</v>
      </c>
      <c r="C67" t="s">
        <v>27</v>
      </c>
      <c r="D67" t="s">
        <v>11</v>
      </c>
      <c r="E67" t="s">
        <v>12</v>
      </c>
      <c r="F67" t="s">
        <v>11</v>
      </c>
      <c r="G67">
        <v>1.1000000000000001</v>
      </c>
      <c r="H67">
        <v>0</v>
      </c>
      <c r="I67">
        <v>10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</row>
    <row r="68" spans="1:15" x14ac:dyDescent="0.3">
      <c r="A68" t="s">
        <v>14</v>
      </c>
      <c r="B68" t="s">
        <v>9</v>
      </c>
      <c r="C68" t="s">
        <v>27</v>
      </c>
      <c r="D68" t="s">
        <v>11</v>
      </c>
      <c r="E68" t="s">
        <v>12</v>
      </c>
      <c r="F68" t="s">
        <v>11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 t="s">
        <v>11</v>
      </c>
      <c r="N68">
        <v>0</v>
      </c>
      <c r="O68">
        <v>0</v>
      </c>
    </row>
    <row r="69" spans="1:15" x14ac:dyDescent="0.3">
      <c r="A69" t="s">
        <v>15</v>
      </c>
      <c r="B69" t="s">
        <v>9</v>
      </c>
      <c r="C69" t="s">
        <v>27</v>
      </c>
      <c r="D69" t="s">
        <v>11</v>
      </c>
      <c r="E69" t="s">
        <v>12</v>
      </c>
      <c r="F69" t="s">
        <v>11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</row>
    <row r="70" spans="1:15" x14ac:dyDescent="0.3">
      <c r="A70" t="s">
        <v>16</v>
      </c>
      <c r="B70" t="s">
        <v>9</v>
      </c>
      <c r="C70" t="s">
        <v>27</v>
      </c>
      <c r="D70" t="s">
        <v>11</v>
      </c>
      <c r="E70" t="s">
        <v>12</v>
      </c>
      <c r="F70" t="s">
        <v>11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</row>
    <row r="71" spans="1:15" x14ac:dyDescent="0.3">
      <c r="A71" t="s">
        <v>17</v>
      </c>
      <c r="B71" t="s">
        <v>9</v>
      </c>
      <c r="C71" t="s">
        <v>27</v>
      </c>
      <c r="D71" t="s">
        <v>11</v>
      </c>
      <c r="E71" t="s">
        <v>12</v>
      </c>
      <c r="F71" t="s">
        <v>11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</row>
    <row r="72" spans="1:15" x14ac:dyDescent="0.3">
      <c r="A72" t="s">
        <v>18</v>
      </c>
      <c r="B72" t="s">
        <v>9</v>
      </c>
      <c r="C72" t="s">
        <v>27</v>
      </c>
      <c r="D72" t="s">
        <v>11</v>
      </c>
      <c r="E72" t="s">
        <v>12</v>
      </c>
      <c r="F72" t="s">
        <v>11</v>
      </c>
      <c r="G72">
        <v>2.8</v>
      </c>
      <c r="H72">
        <v>4.8</v>
      </c>
      <c r="I72">
        <v>1.7</v>
      </c>
      <c r="J72">
        <v>3.3</v>
      </c>
      <c r="K72">
        <v>2.4</v>
      </c>
      <c r="L72">
        <v>1.3</v>
      </c>
      <c r="M72">
        <v>6.9</v>
      </c>
      <c r="N72">
        <v>1.3</v>
      </c>
      <c r="O72">
        <v>1.6</v>
      </c>
    </row>
    <row r="73" spans="1:15" x14ac:dyDescent="0.3">
      <c r="A73" t="s">
        <v>19</v>
      </c>
      <c r="B73" t="s">
        <v>9</v>
      </c>
      <c r="C73" t="s">
        <v>27</v>
      </c>
      <c r="D73" t="s">
        <v>11</v>
      </c>
      <c r="E73" t="s">
        <v>12</v>
      </c>
      <c r="F73" t="s">
        <v>11</v>
      </c>
      <c r="G73">
        <v>0.8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6.7</v>
      </c>
    </row>
    <row r="74" spans="1:15" x14ac:dyDescent="0.3">
      <c r="A74" t="s">
        <v>7</v>
      </c>
    </row>
    <row r="75" spans="1:15" x14ac:dyDescent="0.3">
      <c r="A75" t="s">
        <v>8</v>
      </c>
      <c r="B75" t="s">
        <v>9</v>
      </c>
      <c r="C75" t="s">
        <v>28</v>
      </c>
      <c r="D75" t="s">
        <v>11</v>
      </c>
      <c r="E75" t="s">
        <v>12</v>
      </c>
      <c r="F75" t="s">
        <v>11</v>
      </c>
      <c r="G75">
        <v>0</v>
      </c>
      <c r="H75" t="s">
        <v>11</v>
      </c>
      <c r="I75" t="s">
        <v>11</v>
      </c>
      <c r="J75" t="s">
        <v>11</v>
      </c>
      <c r="K75" t="s">
        <v>11</v>
      </c>
      <c r="L75" t="s">
        <v>11</v>
      </c>
      <c r="M75" t="s">
        <v>11</v>
      </c>
      <c r="N75" t="s">
        <v>11</v>
      </c>
      <c r="O75" t="s">
        <v>11</v>
      </c>
    </row>
    <row r="76" spans="1:15" x14ac:dyDescent="0.3">
      <c r="A76" t="s">
        <v>13</v>
      </c>
      <c r="B76" t="s">
        <v>9</v>
      </c>
      <c r="C76" t="s">
        <v>28</v>
      </c>
      <c r="D76" t="s">
        <v>11</v>
      </c>
      <c r="E76" t="s">
        <v>12</v>
      </c>
      <c r="F76" t="s">
        <v>11</v>
      </c>
      <c r="G76">
        <v>53</v>
      </c>
      <c r="H76" t="s">
        <v>11</v>
      </c>
      <c r="I76">
        <v>53</v>
      </c>
      <c r="J76" t="s">
        <v>11</v>
      </c>
      <c r="K76" t="s">
        <v>11</v>
      </c>
      <c r="L76" t="s">
        <v>11</v>
      </c>
      <c r="M76" t="s">
        <v>11</v>
      </c>
      <c r="N76" t="s">
        <v>11</v>
      </c>
      <c r="O76" t="s">
        <v>11</v>
      </c>
    </row>
    <row r="77" spans="1:15" x14ac:dyDescent="0.3">
      <c r="A77" t="s">
        <v>14</v>
      </c>
      <c r="B77" t="s">
        <v>9</v>
      </c>
      <c r="C77" t="s">
        <v>28</v>
      </c>
      <c r="D77" t="s">
        <v>11</v>
      </c>
      <c r="E77" t="s">
        <v>12</v>
      </c>
      <c r="F77" t="s">
        <v>11</v>
      </c>
      <c r="G77">
        <v>0</v>
      </c>
      <c r="H77" t="s">
        <v>11</v>
      </c>
      <c r="I77" t="s">
        <v>11</v>
      </c>
      <c r="J77" t="s">
        <v>11</v>
      </c>
      <c r="K77" t="s">
        <v>11</v>
      </c>
      <c r="L77" t="s">
        <v>11</v>
      </c>
      <c r="M77" t="s">
        <v>11</v>
      </c>
      <c r="N77" t="s">
        <v>11</v>
      </c>
      <c r="O77" t="s">
        <v>11</v>
      </c>
    </row>
    <row r="78" spans="1:15" x14ac:dyDescent="0.3">
      <c r="A78" t="s">
        <v>15</v>
      </c>
      <c r="B78" t="s">
        <v>9</v>
      </c>
      <c r="C78" t="s">
        <v>28</v>
      </c>
      <c r="D78" t="s">
        <v>11</v>
      </c>
      <c r="E78" t="s">
        <v>12</v>
      </c>
      <c r="F78" t="s">
        <v>11</v>
      </c>
      <c r="G78">
        <v>0</v>
      </c>
      <c r="H78" t="s">
        <v>11</v>
      </c>
      <c r="I78" t="s">
        <v>11</v>
      </c>
      <c r="J78" t="s">
        <v>11</v>
      </c>
      <c r="K78" t="s">
        <v>11</v>
      </c>
      <c r="L78" t="s">
        <v>11</v>
      </c>
      <c r="M78" t="s">
        <v>11</v>
      </c>
      <c r="N78" t="s">
        <v>11</v>
      </c>
      <c r="O78" t="s">
        <v>11</v>
      </c>
    </row>
    <row r="79" spans="1:15" x14ac:dyDescent="0.3">
      <c r="A79" t="s">
        <v>16</v>
      </c>
      <c r="B79" t="s">
        <v>9</v>
      </c>
      <c r="C79" t="s">
        <v>28</v>
      </c>
      <c r="D79" t="s">
        <v>11</v>
      </c>
      <c r="E79" t="s">
        <v>12</v>
      </c>
      <c r="F79" t="s">
        <v>11</v>
      </c>
      <c r="G79">
        <v>0</v>
      </c>
      <c r="H79" t="s">
        <v>11</v>
      </c>
      <c r="I79" t="s">
        <v>11</v>
      </c>
      <c r="J79" t="s">
        <v>11</v>
      </c>
      <c r="K79" t="s">
        <v>11</v>
      </c>
      <c r="L79" t="s">
        <v>11</v>
      </c>
      <c r="M79" t="s">
        <v>11</v>
      </c>
      <c r="N79" t="s">
        <v>11</v>
      </c>
      <c r="O79" t="s">
        <v>11</v>
      </c>
    </row>
    <row r="80" spans="1:15" x14ac:dyDescent="0.3">
      <c r="A80" t="s">
        <v>17</v>
      </c>
      <c r="B80" t="s">
        <v>9</v>
      </c>
      <c r="C80" t="s">
        <v>28</v>
      </c>
      <c r="D80" t="s">
        <v>11</v>
      </c>
      <c r="E80" t="s">
        <v>12</v>
      </c>
      <c r="F80" t="s">
        <v>11</v>
      </c>
      <c r="G80">
        <v>0</v>
      </c>
      <c r="H80" t="s">
        <v>11</v>
      </c>
      <c r="I80" t="s">
        <v>11</v>
      </c>
      <c r="J80" t="s">
        <v>11</v>
      </c>
      <c r="K80" t="s">
        <v>11</v>
      </c>
      <c r="L80" t="s">
        <v>11</v>
      </c>
      <c r="M80" t="s">
        <v>11</v>
      </c>
      <c r="N80" t="s">
        <v>11</v>
      </c>
      <c r="O80" t="s">
        <v>11</v>
      </c>
    </row>
    <row r="81" spans="1:15" x14ac:dyDescent="0.3">
      <c r="A81" t="s">
        <v>18</v>
      </c>
      <c r="B81" t="s">
        <v>9</v>
      </c>
      <c r="C81" t="s">
        <v>28</v>
      </c>
      <c r="D81" t="s">
        <v>11</v>
      </c>
      <c r="E81" t="s">
        <v>12</v>
      </c>
      <c r="F81" t="s">
        <v>11</v>
      </c>
      <c r="G81">
        <v>16.100000000000001</v>
      </c>
      <c r="H81">
        <v>8</v>
      </c>
      <c r="I81">
        <v>6</v>
      </c>
      <c r="J81">
        <v>59</v>
      </c>
      <c r="K81">
        <v>41</v>
      </c>
      <c r="L81">
        <v>16</v>
      </c>
      <c r="M81">
        <v>5.6</v>
      </c>
      <c r="N81" t="s">
        <v>11</v>
      </c>
      <c r="O81" t="s">
        <v>11</v>
      </c>
    </row>
    <row r="82" spans="1:15" x14ac:dyDescent="0.3">
      <c r="A82" t="s">
        <v>19</v>
      </c>
      <c r="B82" t="s">
        <v>9</v>
      </c>
      <c r="C82" t="s">
        <v>28</v>
      </c>
      <c r="D82" t="s">
        <v>11</v>
      </c>
      <c r="E82" t="s">
        <v>12</v>
      </c>
      <c r="F82" t="s">
        <v>11</v>
      </c>
      <c r="G82">
        <v>1</v>
      </c>
      <c r="H82" t="s">
        <v>11</v>
      </c>
      <c r="I82" t="s">
        <v>11</v>
      </c>
      <c r="J82" t="s">
        <v>11</v>
      </c>
      <c r="K82" t="s">
        <v>11</v>
      </c>
      <c r="L82" t="s">
        <v>11</v>
      </c>
      <c r="M82" t="s">
        <v>11</v>
      </c>
      <c r="N82" t="s">
        <v>11</v>
      </c>
      <c r="O82">
        <v>1</v>
      </c>
    </row>
    <row r="83" spans="1:15" x14ac:dyDescent="0.3">
      <c r="A83" t="s">
        <v>7</v>
      </c>
    </row>
    <row r="84" spans="1:15" x14ac:dyDescent="0.3">
      <c r="A84" t="s">
        <v>8</v>
      </c>
      <c r="B84" t="s">
        <v>9</v>
      </c>
      <c r="C84" t="s">
        <v>29</v>
      </c>
      <c r="D84" t="s">
        <v>23</v>
      </c>
      <c r="E84" t="s">
        <v>12</v>
      </c>
      <c r="F84" t="s">
        <v>11</v>
      </c>
      <c r="G84">
        <v>95</v>
      </c>
      <c r="H84">
        <v>33</v>
      </c>
      <c r="I84">
        <v>33</v>
      </c>
      <c r="J84">
        <v>23</v>
      </c>
      <c r="K84">
        <v>56</v>
      </c>
      <c r="L84">
        <v>73</v>
      </c>
      <c r="M84">
        <v>59</v>
      </c>
      <c r="N84">
        <v>53</v>
      </c>
      <c r="O84">
        <v>1</v>
      </c>
    </row>
    <row r="85" spans="1:15" x14ac:dyDescent="0.3">
      <c r="A85" t="s">
        <v>13</v>
      </c>
      <c r="B85" t="s">
        <v>9</v>
      </c>
      <c r="C85" t="s">
        <v>29</v>
      </c>
      <c r="D85" t="s">
        <v>23</v>
      </c>
      <c r="E85" t="s">
        <v>12</v>
      </c>
      <c r="F85" t="s">
        <v>11</v>
      </c>
      <c r="G85">
        <v>93</v>
      </c>
      <c r="H85">
        <v>60</v>
      </c>
      <c r="I85">
        <v>45</v>
      </c>
      <c r="J85">
        <v>68</v>
      </c>
      <c r="K85">
        <v>50</v>
      </c>
      <c r="L85">
        <v>58</v>
      </c>
      <c r="M85">
        <v>47</v>
      </c>
      <c r="N85">
        <v>41</v>
      </c>
      <c r="O85">
        <v>9</v>
      </c>
    </row>
    <row r="86" spans="1:15" x14ac:dyDescent="0.3">
      <c r="A86" t="s">
        <v>14</v>
      </c>
      <c r="B86" t="s">
        <v>9</v>
      </c>
      <c r="C86" t="s">
        <v>29</v>
      </c>
      <c r="D86" t="s">
        <v>23</v>
      </c>
      <c r="E86" t="s">
        <v>12</v>
      </c>
      <c r="F86" t="s">
        <v>11</v>
      </c>
      <c r="G86">
        <v>56</v>
      </c>
      <c r="H86">
        <v>17</v>
      </c>
      <c r="I86">
        <v>49</v>
      </c>
      <c r="J86">
        <v>21</v>
      </c>
      <c r="K86">
        <v>3</v>
      </c>
      <c r="L86">
        <v>24</v>
      </c>
      <c r="M86" t="s">
        <v>11</v>
      </c>
      <c r="N86">
        <v>8</v>
      </c>
      <c r="O86" t="s">
        <v>11</v>
      </c>
    </row>
    <row r="87" spans="1:15" x14ac:dyDescent="0.3">
      <c r="A87" t="s">
        <v>15</v>
      </c>
      <c r="B87" t="s">
        <v>9</v>
      </c>
      <c r="C87" t="s">
        <v>29</v>
      </c>
      <c r="D87" t="s">
        <v>23</v>
      </c>
      <c r="E87" t="s">
        <v>12</v>
      </c>
      <c r="F87" t="s">
        <v>11</v>
      </c>
      <c r="G87">
        <v>46</v>
      </c>
      <c r="H87">
        <v>13</v>
      </c>
      <c r="I87">
        <v>20</v>
      </c>
      <c r="J87">
        <v>23</v>
      </c>
      <c r="K87">
        <v>18</v>
      </c>
      <c r="L87">
        <v>8</v>
      </c>
      <c r="M87">
        <v>7</v>
      </c>
      <c r="N87">
        <v>19</v>
      </c>
      <c r="O87">
        <v>2</v>
      </c>
    </row>
    <row r="88" spans="1:15" x14ac:dyDescent="0.3">
      <c r="A88" t="s">
        <v>16</v>
      </c>
      <c r="B88" t="s">
        <v>9</v>
      </c>
      <c r="C88" t="s">
        <v>29</v>
      </c>
      <c r="D88" t="s">
        <v>23</v>
      </c>
      <c r="E88" t="s">
        <v>12</v>
      </c>
      <c r="F88" t="s">
        <v>11</v>
      </c>
      <c r="G88">
        <v>59</v>
      </c>
      <c r="H88">
        <v>14</v>
      </c>
      <c r="I88">
        <v>6</v>
      </c>
      <c r="J88">
        <v>46</v>
      </c>
      <c r="K88">
        <v>14</v>
      </c>
      <c r="L88">
        <v>27</v>
      </c>
      <c r="M88">
        <v>20</v>
      </c>
      <c r="N88">
        <v>6</v>
      </c>
      <c r="O88">
        <v>5</v>
      </c>
    </row>
    <row r="89" spans="1:15" x14ac:dyDescent="0.3">
      <c r="A89" t="s">
        <v>17</v>
      </c>
      <c r="B89" t="s">
        <v>9</v>
      </c>
      <c r="C89" t="s">
        <v>29</v>
      </c>
      <c r="D89" t="s">
        <v>23</v>
      </c>
      <c r="E89" t="s">
        <v>12</v>
      </c>
      <c r="F89" t="s">
        <v>11</v>
      </c>
      <c r="G89">
        <v>102</v>
      </c>
      <c r="H89">
        <v>43</v>
      </c>
      <c r="I89">
        <v>37</v>
      </c>
      <c r="J89">
        <v>48</v>
      </c>
      <c r="K89">
        <v>86</v>
      </c>
      <c r="L89">
        <v>58</v>
      </c>
      <c r="M89">
        <v>64</v>
      </c>
      <c r="N89">
        <v>32</v>
      </c>
      <c r="O89">
        <v>24</v>
      </c>
    </row>
    <row r="90" spans="1:15" x14ac:dyDescent="0.3">
      <c r="A90" t="s">
        <v>18</v>
      </c>
      <c r="B90" t="s">
        <v>9</v>
      </c>
      <c r="C90" t="s">
        <v>29</v>
      </c>
      <c r="D90" t="s">
        <v>23</v>
      </c>
      <c r="E90" t="s">
        <v>12</v>
      </c>
      <c r="F90" t="s">
        <v>11</v>
      </c>
      <c r="G90">
        <v>122</v>
      </c>
      <c r="H90">
        <v>76</v>
      </c>
      <c r="I90">
        <v>80</v>
      </c>
      <c r="J90">
        <v>87</v>
      </c>
      <c r="K90">
        <v>83</v>
      </c>
      <c r="L90">
        <v>65</v>
      </c>
      <c r="M90">
        <v>84</v>
      </c>
      <c r="N90">
        <v>53</v>
      </c>
      <c r="O90">
        <v>53</v>
      </c>
    </row>
    <row r="91" spans="1:15" x14ac:dyDescent="0.3">
      <c r="A91" t="s">
        <v>19</v>
      </c>
      <c r="B91" t="s">
        <v>9</v>
      </c>
      <c r="C91" t="s">
        <v>29</v>
      </c>
      <c r="D91" t="s">
        <v>23</v>
      </c>
      <c r="E91" t="s">
        <v>12</v>
      </c>
      <c r="F91" t="s">
        <v>11</v>
      </c>
      <c r="G91">
        <v>81</v>
      </c>
      <c r="H91">
        <v>24</v>
      </c>
      <c r="I91">
        <v>38</v>
      </c>
      <c r="J91">
        <v>42</v>
      </c>
      <c r="K91">
        <v>48</v>
      </c>
      <c r="L91">
        <v>40</v>
      </c>
      <c r="M91">
        <v>36</v>
      </c>
      <c r="N91">
        <v>16</v>
      </c>
      <c r="O91">
        <v>11</v>
      </c>
    </row>
    <row r="92" spans="1:15" x14ac:dyDescent="0.3">
      <c r="A92" t="s">
        <v>7</v>
      </c>
    </row>
    <row r="93" spans="1:15" x14ac:dyDescent="0.3">
      <c r="A93" t="s">
        <v>8</v>
      </c>
      <c r="B93" t="s">
        <v>9</v>
      </c>
      <c r="C93" t="s">
        <v>30</v>
      </c>
      <c r="D93" t="s">
        <v>11</v>
      </c>
      <c r="E93" t="s">
        <v>12</v>
      </c>
      <c r="F93" t="s">
        <v>11</v>
      </c>
      <c r="G93">
        <v>15</v>
      </c>
      <c r="H93">
        <v>4</v>
      </c>
      <c r="I93">
        <v>8</v>
      </c>
      <c r="J93">
        <v>2</v>
      </c>
      <c r="K93">
        <v>7</v>
      </c>
      <c r="L93">
        <v>6</v>
      </c>
      <c r="M93">
        <v>4</v>
      </c>
      <c r="N93">
        <v>11</v>
      </c>
      <c r="O93">
        <v>2</v>
      </c>
    </row>
    <row r="94" spans="1:15" x14ac:dyDescent="0.3">
      <c r="A94" t="s">
        <v>13</v>
      </c>
      <c r="B94" t="s">
        <v>9</v>
      </c>
      <c r="C94" t="s">
        <v>30</v>
      </c>
      <c r="D94" t="s">
        <v>11</v>
      </c>
      <c r="E94" t="s">
        <v>12</v>
      </c>
      <c r="F94" t="s">
        <v>11</v>
      </c>
      <c r="G94">
        <v>20</v>
      </c>
      <c r="H94">
        <v>7</v>
      </c>
      <c r="I94">
        <v>11</v>
      </c>
      <c r="J94">
        <v>11</v>
      </c>
      <c r="K94">
        <v>9</v>
      </c>
      <c r="L94">
        <v>10</v>
      </c>
      <c r="M94">
        <v>11</v>
      </c>
      <c r="N94">
        <v>9</v>
      </c>
      <c r="O94">
        <v>10</v>
      </c>
    </row>
    <row r="95" spans="1:15" x14ac:dyDescent="0.3">
      <c r="A95" t="s">
        <v>14</v>
      </c>
      <c r="B95" t="s">
        <v>9</v>
      </c>
      <c r="C95" t="s">
        <v>30</v>
      </c>
      <c r="D95" t="s">
        <v>11</v>
      </c>
      <c r="E95" t="s">
        <v>12</v>
      </c>
      <c r="F95" t="s">
        <v>11</v>
      </c>
      <c r="G95">
        <v>10</v>
      </c>
      <c r="H95">
        <v>3</v>
      </c>
      <c r="I95">
        <v>6</v>
      </c>
      <c r="J95">
        <v>5</v>
      </c>
      <c r="K95">
        <v>2</v>
      </c>
      <c r="L95">
        <v>4</v>
      </c>
      <c r="M95">
        <v>0</v>
      </c>
      <c r="N95">
        <v>3</v>
      </c>
      <c r="O95">
        <v>1</v>
      </c>
    </row>
    <row r="96" spans="1:15" x14ac:dyDescent="0.3">
      <c r="A96" t="s">
        <v>15</v>
      </c>
      <c r="B96" t="s">
        <v>9</v>
      </c>
      <c r="C96" t="s">
        <v>30</v>
      </c>
      <c r="D96" t="s">
        <v>11</v>
      </c>
      <c r="E96" t="s">
        <v>12</v>
      </c>
      <c r="F96" t="s">
        <v>11</v>
      </c>
      <c r="G96">
        <v>13</v>
      </c>
      <c r="H96">
        <v>2</v>
      </c>
      <c r="I96">
        <v>1</v>
      </c>
      <c r="J96">
        <v>3</v>
      </c>
      <c r="K96">
        <v>2</v>
      </c>
      <c r="L96">
        <v>7</v>
      </c>
      <c r="M96">
        <v>7</v>
      </c>
      <c r="N96">
        <v>5</v>
      </c>
      <c r="O96">
        <v>4</v>
      </c>
    </row>
    <row r="97" spans="1:15" x14ac:dyDescent="0.3">
      <c r="A97" t="s">
        <v>16</v>
      </c>
      <c r="B97" t="s">
        <v>9</v>
      </c>
      <c r="C97" t="s">
        <v>30</v>
      </c>
      <c r="D97" t="s">
        <v>11</v>
      </c>
      <c r="E97" t="s">
        <v>12</v>
      </c>
      <c r="F97" t="s">
        <v>11</v>
      </c>
      <c r="G97">
        <v>12</v>
      </c>
      <c r="H97">
        <v>3</v>
      </c>
      <c r="I97">
        <v>6</v>
      </c>
      <c r="J97">
        <v>8</v>
      </c>
      <c r="K97">
        <v>6</v>
      </c>
      <c r="L97">
        <v>8</v>
      </c>
      <c r="M97">
        <v>6</v>
      </c>
      <c r="N97">
        <v>5</v>
      </c>
      <c r="O97">
        <v>6</v>
      </c>
    </row>
    <row r="98" spans="1:15" x14ac:dyDescent="0.3">
      <c r="A98" t="s">
        <v>17</v>
      </c>
      <c r="B98" t="s">
        <v>9</v>
      </c>
      <c r="C98" t="s">
        <v>30</v>
      </c>
      <c r="D98" t="s">
        <v>11</v>
      </c>
      <c r="E98" t="s">
        <v>12</v>
      </c>
      <c r="F98" t="s">
        <v>11</v>
      </c>
      <c r="G98">
        <v>16</v>
      </c>
      <c r="H98">
        <v>7</v>
      </c>
      <c r="I98">
        <v>6</v>
      </c>
      <c r="J98">
        <v>10</v>
      </c>
      <c r="K98">
        <v>12</v>
      </c>
      <c r="L98">
        <v>12</v>
      </c>
      <c r="M98">
        <v>7</v>
      </c>
      <c r="N98">
        <v>5</v>
      </c>
      <c r="O98">
        <v>5</v>
      </c>
    </row>
    <row r="99" spans="1:15" x14ac:dyDescent="0.3">
      <c r="A99" t="s">
        <v>18</v>
      </c>
      <c r="B99" t="s">
        <v>9</v>
      </c>
      <c r="C99" t="s">
        <v>30</v>
      </c>
      <c r="D99" t="s">
        <v>11</v>
      </c>
      <c r="E99" t="s">
        <v>12</v>
      </c>
      <c r="F99" t="s">
        <v>11</v>
      </c>
      <c r="G99">
        <v>25</v>
      </c>
      <c r="H99">
        <v>12</v>
      </c>
      <c r="I99">
        <v>15</v>
      </c>
      <c r="J99">
        <v>14</v>
      </c>
      <c r="K99">
        <v>18</v>
      </c>
      <c r="L99">
        <v>14</v>
      </c>
      <c r="M99">
        <v>16</v>
      </c>
      <c r="N99">
        <v>20</v>
      </c>
      <c r="O99">
        <v>19</v>
      </c>
    </row>
    <row r="100" spans="1:15" x14ac:dyDescent="0.3">
      <c r="A100" t="s">
        <v>19</v>
      </c>
      <c r="B100" t="s">
        <v>9</v>
      </c>
      <c r="C100" t="s">
        <v>30</v>
      </c>
      <c r="D100" t="s">
        <v>11</v>
      </c>
      <c r="E100" t="s">
        <v>12</v>
      </c>
      <c r="F100" t="s">
        <v>11</v>
      </c>
      <c r="G100">
        <v>18</v>
      </c>
      <c r="H100">
        <v>4</v>
      </c>
      <c r="I100">
        <v>8</v>
      </c>
      <c r="J100">
        <v>11</v>
      </c>
      <c r="K100">
        <v>12</v>
      </c>
      <c r="L100">
        <v>10</v>
      </c>
      <c r="M100">
        <v>9</v>
      </c>
      <c r="N100">
        <v>10</v>
      </c>
      <c r="O100">
        <v>7</v>
      </c>
    </row>
    <row r="101" spans="1:15" x14ac:dyDescent="0.3">
      <c r="A101" t="s">
        <v>7</v>
      </c>
    </row>
    <row r="102" spans="1:15" x14ac:dyDescent="0.3">
      <c r="A102" t="s">
        <v>7</v>
      </c>
    </row>
    <row r="103" spans="1:15" x14ac:dyDescent="0.3">
      <c r="A103" t="s">
        <v>7</v>
      </c>
    </row>
    <row r="104" spans="1:15" x14ac:dyDescent="0.3">
      <c r="A104" t="s">
        <v>31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sheetData>
    <row r="1" spans="1:2" x14ac:dyDescent="0.3">
      <c r="A1" t="s">
        <v>32</v>
      </c>
      <c r="B1" t="s">
        <v>33</v>
      </c>
    </row>
    <row r="2" spans="1:2" x14ac:dyDescent="0.3">
      <c r="A2" t="s">
        <v>34</v>
      </c>
      <c r="B2" t="s">
        <v>35</v>
      </c>
    </row>
    <row r="3" spans="1:2" x14ac:dyDescent="0.3">
      <c r="A3" t="s">
        <v>36</v>
      </c>
      <c r="B3" t="s">
        <v>37</v>
      </c>
    </row>
    <row r="4" spans="1:2" x14ac:dyDescent="0.3">
      <c r="A4" t="s">
        <v>38</v>
      </c>
      <c r="B4" t="s">
        <v>39</v>
      </c>
    </row>
    <row r="5" spans="1:2" x14ac:dyDescent="0.3">
      <c r="A5" t="s">
        <v>40</v>
      </c>
      <c r="B5" t="s">
        <v>41</v>
      </c>
    </row>
    <row r="6" spans="1:2" x14ac:dyDescent="0.3">
      <c r="A6" t="s">
        <v>7</v>
      </c>
    </row>
    <row r="7" spans="1:2" x14ac:dyDescent="0.3">
      <c r="A7" t="s">
        <v>42</v>
      </c>
      <c r="B7" t="s">
        <v>43</v>
      </c>
    </row>
    <row r="8" spans="1:2" x14ac:dyDescent="0.3">
      <c r="A8" t="s">
        <v>44</v>
      </c>
      <c r="B8" t="s">
        <v>45</v>
      </c>
    </row>
    <row r="9" spans="1:2" x14ac:dyDescent="0.3">
      <c r="A9" t="s">
        <v>46</v>
      </c>
      <c r="B9" t="s">
        <v>47</v>
      </c>
    </row>
    <row r="10" spans="1:2" x14ac:dyDescent="0.3">
      <c r="A10" t="s">
        <v>7</v>
      </c>
    </row>
    <row r="11" spans="1:2" x14ac:dyDescent="0.3">
      <c r="A11" t="s">
        <v>7</v>
      </c>
    </row>
    <row r="12" spans="1:2" x14ac:dyDescent="0.3">
      <c r="A12" t="s">
        <v>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"/>
  <sheetViews>
    <sheetView workbookViewId="0"/>
  </sheetViews>
  <sheetFormatPr defaultRowHeight="14.4" x14ac:dyDescent="0.3"/>
  <sheetData>
    <row r="1" spans="1:11" x14ac:dyDescent="0.3">
      <c r="A1" t="s">
        <v>48</v>
      </c>
    </row>
    <row r="2" spans="1:11" x14ac:dyDescent="0.3">
      <c r="A2" t="s">
        <v>49</v>
      </c>
    </row>
    <row r="3" spans="1:11" x14ac:dyDescent="0.3">
      <c r="A3" t="s">
        <v>7</v>
      </c>
      <c r="B3" t="s">
        <v>7</v>
      </c>
      <c r="C3">
        <v>2018</v>
      </c>
      <c r="D3">
        <v>2019</v>
      </c>
      <c r="E3">
        <v>2020</v>
      </c>
      <c r="F3">
        <v>2021</v>
      </c>
      <c r="G3">
        <v>2022</v>
      </c>
      <c r="H3">
        <v>2023</v>
      </c>
      <c r="I3">
        <v>2024</v>
      </c>
      <c r="J3">
        <v>2025</v>
      </c>
    </row>
    <row r="4" spans="1:11" x14ac:dyDescent="0.3">
      <c r="A4" t="s">
        <v>50</v>
      </c>
      <c r="B4" t="s">
        <v>7</v>
      </c>
      <c r="C4">
        <v>214</v>
      </c>
      <c r="D4">
        <v>196</v>
      </c>
      <c r="E4">
        <v>192</v>
      </c>
      <c r="F4">
        <v>153</v>
      </c>
      <c r="G4">
        <v>117</v>
      </c>
      <c r="H4">
        <v>89</v>
      </c>
      <c r="I4">
        <v>59</v>
      </c>
      <c r="J4">
        <v>27</v>
      </c>
      <c r="K4" t="s">
        <v>7</v>
      </c>
    </row>
    <row r="5" spans="1:11" x14ac:dyDescent="0.3">
      <c r="A5" t="s">
        <v>51</v>
      </c>
      <c r="B5" t="s">
        <v>7</v>
      </c>
      <c r="C5">
        <v>81</v>
      </c>
      <c r="D5">
        <v>75</v>
      </c>
      <c r="E5">
        <v>72</v>
      </c>
      <c r="F5">
        <v>60</v>
      </c>
      <c r="G5">
        <v>47</v>
      </c>
      <c r="H5">
        <v>36</v>
      </c>
      <c r="I5">
        <v>25</v>
      </c>
      <c r="J5">
        <v>11</v>
      </c>
      <c r="K5" t="s">
        <v>7</v>
      </c>
    </row>
    <row r="6" spans="1:11" x14ac:dyDescent="0.3">
      <c r="A6" t="s">
        <v>52</v>
      </c>
      <c r="B6" t="s">
        <v>7</v>
      </c>
      <c r="C6">
        <v>50</v>
      </c>
      <c r="D6">
        <v>47</v>
      </c>
      <c r="E6">
        <v>45</v>
      </c>
      <c r="F6">
        <v>38</v>
      </c>
      <c r="G6">
        <v>30</v>
      </c>
      <c r="H6">
        <v>23</v>
      </c>
      <c r="I6">
        <v>16</v>
      </c>
      <c r="J6">
        <v>7</v>
      </c>
      <c r="K6" t="s">
        <v>7</v>
      </c>
    </row>
    <row r="7" spans="1:11" x14ac:dyDescent="0.3">
      <c r="A7" t="s">
        <v>53</v>
      </c>
      <c r="B7" t="s">
        <v>7</v>
      </c>
      <c r="C7">
        <v>22</v>
      </c>
      <c r="D7">
        <v>20</v>
      </c>
      <c r="E7">
        <v>20</v>
      </c>
      <c r="F7">
        <v>17</v>
      </c>
      <c r="G7">
        <v>14</v>
      </c>
      <c r="H7">
        <v>10</v>
      </c>
      <c r="I7">
        <v>7</v>
      </c>
      <c r="J7">
        <v>3</v>
      </c>
      <c r="K7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Data</vt:lpstr>
      <vt:lpstr>Export Details</vt:lpstr>
      <vt:lpstr>Percentile Thresholds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Chiaowen</cp:lastModifiedBy>
  <dcterms:created xsi:type="dcterms:W3CDTF">2026-07-22T07:35:42Z</dcterms:created>
  <dcterms:modified xsi:type="dcterms:W3CDTF">2026-08-11T01:37:03Z</dcterms:modified>
</cp:coreProperties>
</file>